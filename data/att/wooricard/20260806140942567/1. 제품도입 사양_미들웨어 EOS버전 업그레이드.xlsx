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5B450766-406A-41D5-8935-640732808A3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MAXSOFT" sheetId="2" r:id="rId1"/>
    <sheet name="OS 및 타입별 요약 및 상세 목록" sheetId="1" r:id="rId2"/>
  </sheets>
  <definedNames>
    <definedName name="_xlnm._FilterDatabase" localSheetId="1" hidden="1">'OS 및 타입별 요약 및 상세 목록'!$B$26:$N$116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G15" i="1"/>
  <c r="J16" i="1"/>
  <c r="J8" i="2" s="1"/>
  <c r="I16" i="1"/>
  <c r="I8" i="2" s="1"/>
  <c r="G16" i="1"/>
  <c r="G8" i="2" s="1"/>
  <c r="J22" i="1"/>
  <c r="J21" i="1"/>
  <c r="J20" i="1"/>
  <c r="J10" i="2" s="1"/>
  <c r="J19" i="1"/>
  <c r="J18" i="1"/>
  <c r="I22" i="1"/>
  <c r="I21" i="1"/>
  <c r="I20" i="1"/>
  <c r="I19" i="1"/>
  <c r="I18" i="1"/>
  <c r="G22" i="1"/>
  <c r="G21" i="1"/>
  <c r="G20" i="1"/>
  <c r="G19" i="1"/>
  <c r="G18" i="1"/>
  <c r="J14" i="1"/>
  <c r="J13" i="1"/>
  <c r="J12" i="1"/>
  <c r="J11" i="1"/>
  <c r="J10" i="1"/>
  <c r="J9" i="1"/>
  <c r="I14" i="1"/>
  <c r="I13" i="1"/>
  <c r="I12" i="1"/>
  <c r="I11" i="1"/>
  <c r="I10" i="1"/>
  <c r="I9" i="1"/>
  <c r="G14" i="1"/>
  <c r="G13" i="1"/>
  <c r="G12" i="1"/>
  <c r="G11" i="1"/>
  <c r="G10" i="1"/>
  <c r="G9" i="1"/>
  <c r="J8" i="1"/>
  <c r="J7" i="1"/>
  <c r="J6" i="1"/>
  <c r="I8" i="1"/>
  <c r="I7" i="1"/>
  <c r="I6" i="1"/>
  <c r="G8" i="1"/>
  <c r="G7" i="1"/>
  <c r="G6" i="1"/>
  <c r="J5" i="1"/>
  <c r="J4" i="1"/>
  <c r="J3" i="1"/>
  <c r="I5" i="1"/>
  <c r="I4" i="1"/>
  <c r="I3" i="1"/>
  <c r="G5" i="1"/>
  <c r="G4" i="1"/>
  <c r="G3" i="1"/>
  <c r="I7" i="2" l="1"/>
  <c r="J3" i="2"/>
  <c r="J7" i="2"/>
  <c r="K7" i="2" s="1"/>
  <c r="G7" i="2"/>
  <c r="G5" i="2"/>
  <c r="G10" i="2"/>
  <c r="I5" i="2"/>
  <c r="J6" i="2"/>
  <c r="I6" i="2"/>
  <c r="G4" i="2"/>
  <c r="J5" i="2"/>
  <c r="G3" i="2"/>
  <c r="J4" i="2"/>
  <c r="K3" i="2" s="1"/>
  <c r="G6" i="2"/>
  <c r="I4" i="2"/>
  <c r="I10" i="2"/>
  <c r="I3" i="2"/>
  <c r="K15" i="1"/>
  <c r="K3" i="1"/>
  <c r="K9" i="1"/>
  <c r="K5" i="2" l="1"/>
</calcChain>
</file>

<file path=xl/sharedStrings.xml><?xml version="1.0" encoding="utf-8"?>
<sst xmlns="http://schemas.openxmlformats.org/spreadsheetml/2006/main" count="876" uniqueCount="147">
  <si>
    <t>OS</t>
    <phoneticPr fontId="28" type="noConversion"/>
  </si>
  <si>
    <t>No.</t>
    <phoneticPr fontId="28" type="noConversion"/>
  </si>
  <si>
    <t>제품명</t>
    <phoneticPr fontId="28" type="noConversion"/>
  </si>
  <si>
    <t>JEUS 9 @ Standard</t>
  </si>
  <si>
    <t>JEUS 9 @ Enterprise</t>
  </si>
  <si>
    <t>WebtoB 6 @ Standard</t>
  </si>
  <si>
    <t>타입</t>
    <phoneticPr fontId="28" type="noConversion"/>
  </si>
  <si>
    <t>DR</t>
  </si>
  <si>
    <t>운영</t>
  </si>
  <si>
    <t>개발</t>
  </si>
  <si>
    <t>단위</t>
    <phoneticPr fontId="28" type="noConversion"/>
  </si>
  <si>
    <t>Core</t>
  </si>
  <si>
    <t>HP UX</t>
  </si>
  <si>
    <t>AIX</t>
  </si>
  <si>
    <t>단위수량</t>
    <phoneticPr fontId="28" type="noConversion"/>
  </si>
  <si>
    <t>가중치</t>
    <phoneticPr fontId="28" type="noConversion"/>
  </si>
  <si>
    <t>서버수량</t>
    <phoneticPr fontId="28" type="noConversion"/>
  </si>
  <si>
    <t>환산수량</t>
    <phoneticPr fontId="28" type="noConversion"/>
  </si>
  <si>
    <t>구분</t>
    <phoneticPr fontId="3" type="noConversion"/>
  </si>
  <si>
    <t>제품명</t>
    <phoneticPr fontId="3" type="noConversion"/>
  </si>
  <si>
    <t>타입</t>
    <phoneticPr fontId="3" type="noConversion"/>
  </si>
  <si>
    <t>WebtoB 6 @ Standard</t>
    <phoneticPr fontId="3" type="noConversion"/>
  </si>
  <si>
    <t>OS</t>
    <phoneticPr fontId="3" type="noConversion"/>
  </si>
  <si>
    <t>Core</t>
    <phoneticPr fontId="3" type="noConversion"/>
  </si>
  <si>
    <t>AIX</t>
    <phoneticPr fontId="3" type="noConversion"/>
  </si>
  <si>
    <t>운영</t>
    <phoneticPr fontId="3" type="noConversion"/>
  </si>
  <si>
    <t>개발</t>
    <phoneticPr fontId="3" type="noConversion"/>
  </si>
  <si>
    <t>DR</t>
    <phoneticPr fontId="3" type="noConversion"/>
  </si>
  <si>
    <t>단위</t>
    <phoneticPr fontId="3" type="noConversion"/>
  </si>
  <si>
    <t>HP UX</t>
    <phoneticPr fontId="3" type="noConversion"/>
  </si>
  <si>
    <t>환산수량(소계)</t>
    <phoneticPr fontId="3" type="noConversion"/>
  </si>
  <si>
    <t>JEUS 9 @ Standard</t>
    <phoneticPr fontId="3" type="noConversion"/>
  </si>
  <si>
    <t>JEUS 9 @ Enterprise</t>
    <phoneticPr fontId="3" type="noConversion"/>
  </si>
  <si>
    <t>L20160015122
L20160015121
L20160015120</t>
    <phoneticPr fontId="3" type="noConversion"/>
  </si>
  <si>
    <t>L20230007384</t>
  </si>
  <si>
    <t>L20230007385</t>
  </si>
  <si>
    <t>L20160015119</t>
  </si>
  <si>
    <t>L20230002800</t>
  </si>
  <si>
    <t>L20230002799</t>
  </si>
  <si>
    <t>L20150000028</t>
  </si>
  <si>
    <t>L20150010388</t>
  </si>
  <si>
    <t>L20150010383</t>
  </si>
  <si>
    <t>L20150010382</t>
  </si>
  <si>
    <t>L20150010386</t>
  </si>
  <si>
    <t>L20160004411</t>
  </si>
  <si>
    <t>L20160004418</t>
  </si>
  <si>
    <t>L20160004426</t>
  </si>
  <si>
    <t>업그레이드할인 적용</t>
  </si>
  <si>
    <t>L20160001593</t>
  </si>
  <si>
    <t>L20160001592</t>
  </si>
  <si>
    <t>L20220005919</t>
  </si>
  <si>
    <t>L20220005957</t>
  </si>
  <si>
    <t>L20220005958</t>
  </si>
  <si>
    <t>L20250009416</t>
  </si>
  <si>
    <t>L20250009417</t>
  </si>
  <si>
    <t>L20160026069</t>
  </si>
  <si>
    <t>L20250003969</t>
  </si>
  <si>
    <t>L20250003967</t>
  </si>
  <si>
    <t>L20250003968</t>
  </si>
  <si>
    <t>L20170016262</t>
  </si>
  <si>
    <t>L20240003337</t>
  </si>
  <si>
    <t>L20240003338</t>
  </si>
  <si>
    <t>L20160027755</t>
  </si>
  <si>
    <t>L20170002884</t>
  </si>
  <si>
    <t>L20170002885</t>
  </si>
  <si>
    <t>L20170002886</t>
  </si>
  <si>
    <t>L20250001994</t>
  </si>
  <si>
    <t>L20250001993</t>
  </si>
  <si>
    <t>L20160004416</t>
  </si>
  <si>
    <t>L20230005753</t>
  </si>
  <si>
    <t>추가구매(환산수량 부족분)</t>
  </si>
  <si>
    <t>L20230005754</t>
  </si>
  <si>
    <t>L20160004410</t>
  </si>
  <si>
    <t>L20160004420</t>
  </si>
  <si>
    <t>L20160004421</t>
  </si>
  <si>
    <t>L20160004424</t>
  </si>
  <si>
    <t>업그레이드 할인 적용</t>
  </si>
  <si>
    <t>L20230007388</t>
  </si>
  <si>
    <t>L20230007389</t>
  </si>
  <si>
    <t>L20230007390</t>
  </si>
  <si>
    <t>L20230002796</t>
  </si>
  <si>
    <t>L20230002797</t>
  </si>
  <si>
    <t>L20150000029</t>
  </si>
  <si>
    <t>L20150010389</t>
  </si>
  <si>
    <t>L20150010385</t>
  </si>
  <si>
    <t>L20150010384</t>
  </si>
  <si>
    <t>L20150010387</t>
  </si>
  <si>
    <t>L20160004419</t>
  </si>
  <si>
    <t>L20160004427</t>
  </si>
  <si>
    <t>L20190004591</t>
  </si>
  <si>
    <t>L20160004407</t>
  </si>
  <si>
    <t>L20160001594</t>
  </si>
  <si>
    <t>L20160001595</t>
  </si>
  <si>
    <t>L20220005954</t>
  </si>
  <si>
    <t>L20220005918</t>
  </si>
  <si>
    <t>L20220005955</t>
  </si>
  <si>
    <t>L20250009414</t>
  </si>
  <si>
    <t>L20250009415</t>
  </si>
  <si>
    <t>L20160026070</t>
  </si>
  <si>
    <t>L20250003966</t>
  </si>
  <si>
    <t>L20250003964</t>
  </si>
  <si>
    <t>L20250003965</t>
  </si>
  <si>
    <t>L20170016263</t>
  </si>
  <si>
    <t>L20160027753</t>
  </si>
  <si>
    <t>L20160027754</t>
  </si>
  <si>
    <t>L20160027756</t>
  </si>
  <si>
    <t>L20250001992</t>
  </si>
  <si>
    <t>L20250001991</t>
  </si>
  <si>
    <t>L20160004417</t>
  </si>
  <si>
    <t>L20160004422</t>
  </si>
  <si>
    <t>L20160004423</t>
  </si>
  <si>
    <t>L20160004425</t>
  </si>
  <si>
    <t>L20190004589</t>
  </si>
  <si>
    <t>L20190004588</t>
  </si>
  <si>
    <t>L20190004590</t>
  </si>
  <si>
    <t>L20160004403</t>
  </si>
  <si>
    <t>L20160004404</t>
  </si>
  <si>
    <t>L20160004405</t>
  </si>
  <si>
    <t>업그레이드 기술지원</t>
    <phoneticPr fontId="3" type="noConversion"/>
  </si>
  <si>
    <t>-</t>
    <phoneticPr fontId="3" type="noConversion"/>
  </si>
  <si>
    <t>M/D</t>
    <phoneticPr fontId="3" type="noConversion"/>
  </si>
  <si>
    <t>비상주 130M/D 지원</t>
    <phoneticPr fontId="3" type="noConversion"/>
  </si>
  <si>
    <t>기존 라이선스</t>
    <phoneticPr fontId="28" type="noConversion"/>
  </si>
  <si>
    <t>업무명 구분</t>
    <phoneticPr fontId="28" type="noConversion"/>
  </si>
  <si>
    <t>품목 구분</t>
    <phoneticPr fontId="28" type="noConversion"/>
  </si>
  <si>
    <t>비고</t>
    <phoneticPr fontId="28" type="noConversion"/>
  </si>
  <si>
    <t>우비스(카드상담)</t>
  </si>
  <si>
    <t>WAS</t>
  </si>
  <si>
    <t>업그레이드</t>
  </si>
  <si>
    <t>FDS</t>
  </si>
  <si>
    <t>국제카드</t>
  </si>
  <si>
    <t>우리WON멤버스</t>
  </si>
  <si>
    <t>신용전략시스템</t>
  </si>
  <si>
    <t>검사정보</t>
  </si>
  <si>
    <t>카드BPR</t>
  </si>
  <si>
    <t>할부리스</t>
  </si>
  <si>
    <t>간편결제</t>
  </si>
  <si>
    <t>PCMS</t>
  </si>
  <si>
    <t>신규 도입</t>
  </si>
  <si>
    <t>WEB</t>
  </si>
  <si>
    <t>&lt;상세 목록&gt;</t>
    <phoneticPr fontId="3" type="noConversion"/>
  </si>
  <si>
    <t>&lt;OS 및 타입별 요약&gt;</t>
    <phoneticPr fontId="3" type="noConversion"/>
  </si>
  <si>
    <t>운영,개발,DR</t>
    <phoneticPr fontId="3" type="noConversion"/>
  </si>
  <si>
    <t>운영,DR</t>
    <phoneticPr fontId="3" type="noConversion"/>
  </si>
  <si>
    <t>비상주 130M/D</t>
    <phoneticPr fontId="3" type="noConversion"/>
  </si>
  <si>
    <t>비고</t>
    <phoneticPr fontId="3" type="noConversion"/>
  </si>
  <si>
    <t>환산수량 부족분 추가구매(신규도입)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</si>
</sst>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₩&quot;#,##0.00;&quot;₩&quot;&quot;₩&quot;&quot;₩&quot;&quot;₩&quot;\-#,##0.00"/>
    <numFmt numFmtId="178" formatCode="_ * #,##0.00_ ;_ * \-#,##0.00_ ;_ * &quot;-&quot;??_ ;_ @_ "/>
    <numFmt numFmtId="179" formatCode="_ * #,##0.00_ ;_ * &quot;₩&quot;&quot;₩&quot;&quot;₩&quot;&quot;₩&quot;&quot;₩&quot;&quot;₩&quot;&quot;₩&quot;&quot;₩&quot;&quot;₩&quot;&quot;₩&quot;&quot;₩&quot;&quot;₩&quot;&quot;₩&quot;\-#,##0.00_ ;_ * &quot;-&quot;??_ ;_ @_ "/>
    <numFmt numFmtId="180" formatCode="&quot;₩&quot;#,##0;&quot;₩&quot;&quot;₩&quot;&quot;₩&quot;&quot;₩&quot;&quot;₩&quot;&quot;₩&quot;&quot;₩&quot;&quot;₩&quot;&quot;₩&quot;&quot;₩&quot;&quot;₩&quot;&quot;₩&quot;&quot;₩&quot;&quot;₩&quot;&quot;₩&quot;\-#,##0"/>
    <numFmt numFmtId="181" formatCode="&quot;₩&quot;#,##0;[Red]&quot;₩&quot;&quot;₩&quot;&quot;₩&quot;&quot;₩&quot;&quot;₩&quot;&quot;₩&quot;&quot;₩&quot;&quot;₩&quot;&quot;₩&quot;&quot;₩&quot;&quot;₩&quot;&quot;₩&quot;&quot;₩&quot;&quot;₩&quot;&quot;₩&quot;\-#,##0"/>
    <numFmt numFmtId="182" formatCode="_(&quot;$&quot;* #,##0.00_);_(&quot;$&quot;* \(#,##0.00\);_(&quot;$&quot;* &quot;-&quot;??_);_(@_)"/>
    <numFmt numFmtId="183" formatCode="0.0"/>
  </numFmts>
  <fonts count="2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indexed="8"/>
      <name val="MS Sans Serif"/>
      <family val="2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Times New Roman"/>
      <family val="1"/>
    </font>
    <font>
      <sz val="10"/>
      <name val="Arial"/>
      <family val="2"/>
    </font>
    <font>
      <sz val="9"/>
      <name val="굴림"/>
      <family val="3"/>
      <charset val="129"/>
    </font>
    <font>
      <sz val="10"/>
      <name val="명조"/>
      <family val="3"/>
      <charset val="129"/>
    </font>
    <font>
      <sz val="11"/>
      <color indexed="8"/>
      <name val="맑은 고딕"/>
      <family val="3"/>
      <charset val="129"/>
    </font>
    <font>
      <sz val="11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바탕체"/>
      <family val="1"/>
      <charset val="129"/>
    </font>
    <font>
      <u/>
      <sz val="10"/>
      <color indexed="12"/>
      <name val="Arial"/>
      <family val="2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5">
    <xf numFmtId="0" fontId="0" fillId="0" borderId="0"/>
    <xf numFmtId="0" fontId="4" fillId="0" borderId="0">
      <alignment vertical="center"/>
    </xf>
    <xf numFmtId="0" fontId="5" fillId="0" borderId="0"/>
    <xf numFmtId="0" fontId="6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7" fillId="0" borderId="0"/>
    <xf numFmtId="0" fontId="5" fillId="0" borderId="0" applyFill="0" applyBorder="0" applyAlignment="0"/>
    <xf numFmtId="0" fontId="11" fillId="0" borderId="0"/>
    <xf numFmtId="3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8" fontId="13" fillId="3" borderId="0" applyNumberFormat="0" applyBorder="0" applyAlignment="0" applyProtection="0"/>
    <xf numFmtId="0" fontId="14" fillId="0" borderId="0">
      <alignment horizontal="left"/>
    </xf>
    <xf numFmtId="0" fontId="15" fillId="0" borderId="7" applyNumberFormat="0" applyAlignment="0" applyProtection="0">
      <alignment horizontal="left" vertical="center"/>
    </xf>
    <xf numFmtId="0" fontId="15" fillId="0" borderId="1">
      <alignment horizontal="left" vertical="center"/>
    </xf>
    <xf numFmtId="10" fontId="13" fillId="3" borderId="5" applyNumberFormat="0" applyBorder="0" applyAlignment="0" applyProtection="0"/>
    <xf numFmtId="0" fontId="16" fillId="0" borderId="6"/>
    <xf numFmtId="177" fontId="5" fillId="0" borderId="0"/>
    <xf numFmtId="0" fontId="17" fillId="0" borderId="0"/>
    <xf numFmtId="10" fontId="18" fillId="0" borderId="0" applyFont="0" applyFill="0" applyBorder="0" applyAlignment="0" applyProtection="0"/>
    <xf numFmtId="0" fontId="16" fillId="0" borderId="0"/>
    <xf numFmtId="41" fontId="19" fillId="0" borderId="0" applyFont="0" applyFill="0" applyBorder="0" applyAlignment="0" applyProtection="0">
      <alignment vertical="center"/>
    </xf>
    <xf numFmtId="0" fontId="20" fillId="0" borderId="8"/>
    <xf numFmtId="0" fontId="20" fillId="0" borderId="8"/>
    <xf numFmtId="0" fontId="21" fillId="0" borderId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2" fillId="0" borderId="0"/>
    <xf numFmtId="41" fontId="2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41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/>
    <xf numFmtId="0" fontId="5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18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0" fontId="21" fillId="0" borderId="0">
      <alignment vertical="center"/>
    </xf>
    <xf numFmtId="0" fontId="18" fillId="0" borderId="0"/>
    <xf numFmtId="0" fontId="18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9" fontId="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6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182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8" fillId="0" borderId="0">
      <alignment vertical="center"/>
    </xf>
    <xf numFmtId="0" fontId="5" fillId="0" borderId="0"/>
    <xf numFmtId="0" fontId="8" fillId="0" borderId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8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/>
    <xf numFmtId="0" fontId="7" fillId="0" borderId="0"/>
    <xf numFmtId="0" fontId="23" fillId="0" borderId="0" applyNumberForma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Fill="1" applyBorder="1" applyAlignment="1">
      <alignment vertical="center"/>
    </xf>
    <xf numFmtId="183" fontId="0" fillId="0" borderId="16" xfId="0" applyNumberForma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183" fontId="0" fillId="0" borderId="24" xfId="0" applyNumberFormat="1" applyFill="1" applyBorder="1" applyAlignment="1">
      <alignment horizontal="center" vertical="center"/>
    </xf>
    <xf numFmtId="183" fontId="0" fillId="0" borderId="16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83" fontId="0" fillId="0" borderId="2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83" fontId="0" fillId="0" borderId="20" xfId="0" applyNumberForma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Fill="1" applyBorder="1" applyAlignment="1">
      <alignment vertical="center"/>
    </xf>
    <xf numFmtId="0" fontId="0" fillId="0" borderId="29" xfId="0" applyBorder="1" applyAlignment="1">
      <alignment vertical="center"/>
    </xf>
    <xf numFmtId="183" fontId="0" fillId="0" borderId="30" xfId="0" applyNumberFormat="1" applyFill="1" applyBorder="1" applyAlignment="1">
      <alignment horizontal="center" vertical="center"/>
    </xf>
    <xf numFmtId="183" fontId="0" fillId="0" borderId="3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8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05">
    <cellStyle name="_Intel" xfId="13" xr:uid="{3F370E38-2D78-48FF-BF9F-5E77CE2FE53E}"/>
    <cellStyle name="0,0_x000a__x000a_NA_x000a__x000a_" xfId="43" xr:uid="{67333E33-CA20-4780-8755-1CF60C95729E}"/>
    <cellStyle name="0,0_x000d__x000a_NA_x000d__x000a_" xfId="44" xr:uid="{374C3805-56CC-4C3D-939D-F2976933D7A2}"/>
    <cellStyle name="0,0_x000d__x000a_NA_x000d__x000a_ 2" xfId="90" xr:uid="{43EE8358-0319-4CA2-B205-2C5D4ED39547}"/>
    <cellStyle name="40% - Accent1 2" xfId="45" xr:uid="{6D8ACA1E-64C2-4DB1-B53B-F96583701B59}"/>
    <cellStyle name="40% - Accent1 2 2" xfId="46" xr:uid="{CC3DA860-10FC-43EF-B56E-B74126B8AF00}"/>
    <cellStyle name="Calc Currency (0)" xfId="14" xr:uid="{AA1296C1-B1A0-44C6-A16A-185EDF180758}"/>
    <cellStyle name="category" xfId="15" xr:uid="{CFDE0DBE-D377-44A0-93A1-3A27B2E4E417}"/>
    <cellStyle name="Comma [0]_MATERAL2" xfId="47" xr:uid="{05E6401F-874E-4107-ABBF-F27A78598C95}"/>
    <cellStyle name="Comma 2" xfId="48" xr:uid="{9104BE5A-D62D-430F-93F8-B2BDE8462471}"/>
    <cellStyle name="Comma 2 2" xfId="49" xr:uid="{4316C4E4-EF1E-42DB-AF92-378FF8990533}"/>
    <cellStyle name="Comma_MATERAL2" xfId="50" xr:uid="{9545AAEC-3F6B-40AC-8B02-3647B0C94C2F}"/>
    <cellStyle name="Comma0" xfId="16" xr:uid="{37E9EB70-0CD9-49E5-B1C3-E893AC5D4F15}"/>
    <cellStyle name="Currency [0]_MATERAL2" xfId="51" xr:uid="{FE4B78CC-6B05-4982-84F6-80CCFE8F97E7}"/>
    <cellStyle name="Currency 2" xfId="52" xr:uid="{EF240C06-C94E-4EA4-BF06-5E7F3CDC8700}"/>
    <cellStyle name="Currency 2 2" xfId="53" xr:uid="{CCDF4DA9-1FEC-40C7-BC06-6E4DB1A6606C}"/>
    <cellStyle name="Currency_MATERAL2" xfId="54" xr:uid="{4C4D30F6-D882-48ED-8E52-772279B3B822}"/>
    <cellStyle name="Date" xfId="17" xr:uid="{35D2670D-2F54-42A3-9833-6489CF9EBC6F}"/>
    <cellStyle name="Excel Built-in Normal" xfId="55" xr:uid="{6AD7F237-9B8C-41DE-8923-6A52FD4AF399}"/>
    <cellStyle name="Grey" xfId="18" xr:uid="{3F3591E5-6C33-4D21-836F-CD8D424FA6BE}"/>
    <cellStyle name="HEADER" xfId="19" xr:uid="{669E136D-5666-4272-BA58-E16694903906}"/>
    <cellStyle name="Header1" xfId="20" xr:uid="{F5A6DA78-74E0-475F-8D10-C1ADE993C27E}"/>
    <cellStyle name="Header2" xfId="21" xr:uid="{2D3F142D-E782-4EDA-A08B-B44A2E92F7F7}"/>
    <cellStyle name="Input [yellow]" xfId="22" xr:uid="{50809903-48E2-4E58-B815-4895897AE8A5}"/>
    <cellStyle name="Model" xfId="23" xr:uid="{9752EBFA-37C6-4C06-ABFF-2DE711E81251}"/>
    <cellStyle name="Normal - Style1" xfId="24" xr:uid="{DB47F314-DC8B-493A-820C-75B1735895D4}"/>
    <cellStyle name="Normal 2" xfId="56" xr:uid="{91247049-B9E1-4C4C-93AF-D8A15157DEA4}"/>
    <cellStyle name="Normal 2 2" xfId="57" xr:uid="{9D6E4DAD-7254-4142-A9A9-D6FE88EDA550}"/>
    <cellStyle name="Normal 3" xfId="58" xr:uid="{C6394E54-A094-4F20-ADFA-A1C95999D6C5}"/>
    <cellStyle name="Normal 3 2" xfId="59" xr:uid="{6BB5F8BF-80E1-4880-AD9B-E69EF4EAD6C7}"/>
    <cellStyle name="Normal 4" xfId="60" xr:uid="{AF466AA5-23F9-4595-BDA3-9748D2E100B3}"/>
    <cellStyle name="Normal 4 2" xfId="61" xr:uid="{7472FB94-283A-4A6A-9957-740D3F53CC6E}"/>
    <cellStyle name="Normal_#10-Headcount" xfId="25" xr:uid="{74319E27-A6FC-4191-B7C4-E46588296061}"/>
    <cellStyle name="Percent [2]" xfId="26" xr:uid="{5AF1DAC4-36A3-49CE-A25F-806D2CB4102C}"/>
    <cellStyle name="subhead" xfId="27" xr:uid="{46BF13E6-2E68-4A0B-AF8F-480109579286}"/>
    <cellStyle name="백분율 2" xfId="11" xr:uid="{239B23B5-E7CD-483E-8250-225EB1182731}"/>
    <cellStyle name="백분율 3" xfId="33" xr:uid="{790F0C03-28B9-450C-9883-955F943CD047}"/>
    <cellStyle name="백분율 3 2" xfId="62" xr:uid="{87B791A7-C062-48F3-80E8-5CC08EAD6E11}"/>
    <cellStyle name="백분율 4" xfId="63" xr:uid="{6DB6D960-D269-4486-9DB0-658BAFF26DC7}"/>
    <cellStyle name="백분율 5" xfId="97" xr:uid="{46BA5678-54D8-46E5-9628-2C9ED02CDD2E}"/>
    <cellStyle name="쉼표 [0] 10" xfId="102" xr:uid="{92FE0BC5-4951-4196-B1E4-5DF8175698FE}"/>
    <cellStyle name="쉼표 [0] 2" xfId="8" xr:uid="{291E421A-582A-48B0-990F-355965BBE07A}"/>
    <cellStyle name="쉼표 [0] 2 2" xfId="32" xr:uid="{7C724F1F-7C2E-4FEE-8EC2-569DA8C1A070}"/>
    <cellStyle name="쉼표 [0] 2 3" xfId="9" xr:uid="{078E0446-B815-4295-A151-2CD37CF75BF3}"/>
    <cellStyle name="쉼표 [0] 2 3 2" xfId="41" xr:uid="{982E3547-33A0-4595-90DE-1C9005004DC5}"/>
    <cellStyle name="쉼표 [0] 2 3 3" xfId="64" xr:uid="{D047C06D-E91F-4818-8C09-CB2D645889BF}"/>
    <cellStyle name="쉼표 [0] 2 4" xfId="28" xr:uid="{F9C83AFE-1A50-4731-BCDB-6701ED564604}"/>
    <cellStyle name="쉼표 [0] 2 4 2" xfId="65" xr:uid="{D3BEB6F5-7743-4A9C-AF53-05D27F895E8E}"/>
    <cellStyle name="쉼표 [0] 2 5" xfId="38" xr:uid="{8E280175-E96C-49A6-A0CB-0D13593BD9AD}"/>
    <cellStyle name="쉼표 [0] 3" xfId="5" xr:uid="{2B0EBB5A-F7E4-46B4-9B60-124217793C62}"/>
    <cellStyle name="쉼표 [0] 3 2" xfId="35" xr:uid="{8901F6ED-0F14-4FDD-BCD6-1ABAC42707C4}"/>
    <cellStyle name="쉼표 [0] 3 3" xfId="66" xr:uid="{267026DC-55A0-496F-BED5-36F45394F425}"/>
    <cellStyle name="쉼표 [0] 4" xfId="10" xr:uid="{59BBDA4F-55C4-4E0D-BD68-945FF9A7DEF5}"/>
    <cellStyle name="쉼표 [0] 4 2" xfId="67" xr:uid="{252C6151-8C90-4638-BE80-823D4F1DB0AD}"/>
    <cellStyle name="쉼표 [0] 5" xfId="40" xr:uid="{EB0BDB79-D49D-4D0D-9FB3-BD8A5DD7E260}"/>
    <cellStyle name="쉼표 [0] 5 2" xfId="68" xr:uid="{3FB16D13-C024-4AE9-99CE-BC88F6F92779}"/>
    <cellStyle name="쉼표 [0] 6" xfId="69" xr:uid="{EC1C6A4C-F9A7-41ED-A1D3-C2FD58D832EA}"/>
    <cellStyle name="쉼표 [0] 7" xfId="70" xr:uid="{44BFC7F7-2E2C-4616-9814-8EA0C8F4B42A}"/>
    <cellStyle name="쉼표 [0] 8" xfId="36" xr:uid="{918CF500-6927-46BB-B1D8-B44002E72B0E}"/>
    <cellStyle name="쉼표 [0] 8 2" xfId="93" xr:uid="{D11CD0DC-03E1-45B3-99FB-D1C7CE8310E8}"/>
    <cellStyle name="쉼표 [0] 9" xfId="96" xr:uid="{A8C3DE84-92A3-4BE8-AC93-745ED1130ED3}"/>
    <cellStyle name="쉼표 2" xfId="71" xr:uid="{EF3EDB83-F088-463C-8E33-175282952EDF}"/>
    <cellStyle name="쉼표 3" xfId="72" xr:uid="{45F0ED97-991B-44D4-A015-604113590765}"/>
    <cellStyle name="쉼표 4" xfId="73" xr:uid="{CA425B33-DA25-4837-963B-643B45FAC45A}"/>
    <cellStyle name="쉼표 5" xfId="74" xr:uid="{8E1660DE-C3DB-485B-BAA8-B7A9560138DF}"/>
    <cellStyle name="쉼표 6" xfId="75" xr:uid="{A5C1488E-770D-4A38-8D44-69972E982066}"/>
    <cellStyle name="쉼표 7" xfId="76" xr:uid="{7CF4F51A-0B1E-4385-8DEA-7C85403CE307}"/>
    <cellStyle name="스타일 1" xfId="6" xr:uid="{4447F0A2-5A28-4ACD-9296-53F17E63EB2A}"/>
    <cellStyle name="스타일 1 2" xfId="37" xr:uid="{CA5D4FEE-630C-4707-860C-5D8B638618CE}"/>
    <cellStyle name="스타일 1 2 2" xfId="99" xr:uid="{DADBAB15-F0FD-4F7E-BD95-8B1230703AEE}"/>
    <cellStyle name="스타일 1 2 3" xfId="3" xr:uid="{00000000-0005-0000-0000-000000000000}"/>
    <cellStyle name="스타일 1 3" xfId="12" xr:uid="{C6628C2E-5E45-4784-A302-91CFF67C8640}"/>
    <cellStyle name="안건회계법인" xfId="29" xr:uid="{F2177596-BAE5-4E93-B280-D4F350380890}"/>
    <cellStyle name="안건회계법인⁬⸵⼰⸷‰o" xfId="30" xr:uid="{55D6886B-C821-4E22-A649-9C34E39E23D7}"/>
    <cellStyle name="콤마 [0]_3월LIST" xfId="77" xr:uid="{89F1E940-B801-4E6D-97DF-389A0A23691F}"/>
    <cellStyle name="콤마_3월LIST" xfId="78" xr:uid="{135396B4-0B0A-4D65-BAD1-867E99C4F65F}"/>
    <cellStyle name="통화 [0] 2" xfId="80" xr:uid="{96EAA341-5FE6-45B4-8C39-73C6D389C402}"/>
    <cellStyle name="통화 [0] 3" xfId="79" xr:uid="{35C64663-C9B8-42D1-A459-C1B8DF9690CB}"/>
    <cellStyle name="통화 2" xfId="81" xr:uid="{73F0E441-8739-48B8-93EA-469D74A34D54}"/>
    <cellStyle name="통화 3" xfId="82" xr:uid="{389C7FF3-8EEA-48CA-83B1-E74A3B273A01}"/>
    <cellStyle name="표준" xfId="0" builtinId="0"/>
    <cellStyle name="표준 10 3" xfId="104" xr:uid="{7A073771-42DC-4A35-8E44-1D9D13E059EF}"/>
    <cellStyle name="표준 2" xfId="7" xr:uid="{16C04775-59C2-4FDD-BFB1-07D5A3AA1DE7}"/>
    <cellStyle name="표준 2 10" xfId="2" xr:uid="{00000000-0005-0000-0000-000002000000}"/>
    <cellStyle name="표준 2 2" xfId="34" xr:uid="{B7C8D1F1-69B8-4328-AD62-F145DDD9271A}"/>
    <cellStyle name="표준 2 3" xfId="83" xr:uid="{7B031131-CE62-4552-BEB6-8E187420FC77}"/>
    <cellStyle name="표준 3" xfId="1" xr:uid="{00000000-0005-0000-0000-000003000000}"/>
    <cellStyle name="표준 3 2" xfId="94" xr:uid="{0B0C204A-FA49-4AAE-AAD2-1D1457BFC64D}"/>
    <cellStyle name="표준 3 2 2" xfId="95" xr:uid="{06763632-C8F2-4ECA-AD56-10003AAF6BDC}"/>
    <cellStyle name="표준 3 3" xfId="84" xr:uid="{EB966C87-C232-4648-9C21-2A2CFEA7B020}"/>
    <cellStyle name="표준 4" xfId="4" xr:uid="{9F65E28C-BA2D-4661-BE09-514A810A1DA8}"/>
    <cellStyle name="표준 4 2" xfId="85" xr:uid="{B49F2A87-87F4-4AA7-A293-7478DE1D3DB9}"/>
    <cellStyle name="표준 5" xfId="42" xr:uid="{D286B5BB-0171-4C25-B5EB-7A2BCE3BA11D}"/>
    <cellStyle name="표준 5 2" xfId="87" xr:uid="{9591F08D-2F77-4B19-8F06-DBA74387FD5D}"/>
    <cellStyle name="표준 5 3" xfId="86" xr:uid="{7A933665-F77F-4DAD-A00C-F8B4BBF9DC9A}"/>
    <cellStyle name="표준 6" xfId="31" xr:uid="{7348475C-B4EC-419C-B42D-BD91FDBCA0B1}"/>
    <cellStyle name="표준 6 2" xfId="88" xr:uid="{D9847133-0647-467F-9270-4AD67F0AE89E}"/>
    <cellStyle name="표준 7" xfId="91" xr:uid="{FF16F438-EF19-4D03-BCC4-BBA7DE6E2D8F}"/>
    <cellStyle name="표준 8" xfId="92" xr:uid="{955682F5-0CB9-4960-A091-E808D2154676}"/>
    <cellStyle name="표준 9" xfId="101" xr:uid="{9566AC03-E7D1-492B-84CF-0D33FE1C2BE4}"/>
    <cellStyle name="標準_excel" xfId="98" xr:uid="{2DC176AC-6EC7-469B-B141-1FCCC10DC7DC}"/>
    <cellStyle name="하이퍼링크 2" xfId="39" xr:uid="{2631335B-9DD5-4784-8116-847C47018D4E}"/>
    <cellStyle name="하이퍼링크 2 2" xfId="89" xr:uid="{C60AC2EE-E99E-4901-9E4C-4619E925D35A}"/>
    <cellStyle name="하이퍼링크 3" xfId="103" xr:uid="{8499CA4F-C8BC-4322-9869-90A8DB3F1362}"/>
    <cellStyle name="하이퍼링크 4" xfId="100" xr:uid="{CCCADF97-E104-4A35-A612-6355ABC757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2569-1B2B-44F9-B0FB-664246F20A3A}">
  <dimension ref="B1:L23"/>
  <sheetViews>
    <sheetView tabSelected="1" zoomScale="85" zoomScaleNormal="85" workbookViewId="0"/>
  </sheetViews>
  <sheetFormatPr defaultRowHeight="16.5"/>
  <cols>
    <col min="1" max="2" width="9" style="1"/>
    <col min="3" max="3" width="21.75" style="1" bestFit="1" customWidth="1"/>
    <col min="4" max="4" width="9" style="1"/>
    <col min="5" max="5" width="12.5" style="1" bestFit="1" customWidth="1"/>
    <col min="6" max="10" width="9" style="1"/>
    <col min="11" max="11" width="15.125" style="1" bestFit="1" customWidth="1"/>
    <col min="12" max="12" width="34.5" style="1" bestFit="1" customWidth="1"/>
    <col min="13" max="16384" width="9" style="1"/>
  </cols>
  <sheetData>
    <row r="1" spans="2:12" ht="17.25" thickBot="1"/>
    <row r="2" spans="2:12">
      <c r="B2" s="4" t="s">
        <v>18</v>
      </c>
      <c r="C2" s="5" t="s">
        <v>19</v>
      </c>
      <c r="D2" s="5" t="s">
        <v>22</v>
      </c>
      <c r="E2" s="5" t="s">
        <v>20</v>
      </c>
      <c r="F2" s="5" t="s">
        <v>28</v>
      </c>
      <c r="G2" s="5" t="s">
        <v>14</v>
      </c>
      <c r="H2" s="5" t="s">
        <v>15</v>
      </c>
      <c r="I2" s="5" t="s">
        <v>16</v>
      </c>
      <c r="J2" s="5" t="s">
        <v>17</v>
      </c>
      <c r="K2" s="16" t="s">
        <v>30</v>
      </c>
      <c r="L2" s="6" t="s">
        <v>145</v>
      </c>
    </row>
    <row r="3" spans="2:12">
      <c r="B3" s="41">
        <v>1</v>
      </c>
      <c r="C3" s="42" t="s">
        <v>21</v>
      </c>
      <c r="D3" s="44" t="s">
        <v>24</v>
      </c>
      <c r="E3" s="45" t="s">
        <v>142</v>
      </c>
      <c r="F3" s="44" t="s">
        <v>23</v>
      </c>
      <c r="G3" s="44">
        <f>SUMIFS('OS 및 타입별 요약 및 상세 목록'!$G$3:$G$22, 'OS 및 타입별 요약 및 상세 목록'!$C$3:$C$22, TMAXSOFT!$C3, 'OS 및 타입별 요약 및 상세 목록'!$D$3:$D$22, TMAXSOFT!$D3, 'OS 및 타입별 요약 및 상세 목록'!$H$3:$H$22, TMAXSOFT!$H3)</f>
        <v>65</v>
      </c>
      <c r="H3" s="44">
        <v>1</v>
      </c>
      <c r="I3" s="44">
        <f>SUMIFS('OS 및 타입별 요약 및 상세 목록'!$I$3:$I$22, 'OS 및 타입별 요약 및 상세 목록'!$C$3:$C$22, TMAXSOFT!$C3, 'OS 및 타입별 요약 및 상세 목록'!$D$3:$D$22, TMAXSOFT!$D3, 'OS 및 타입별 요약 및 상세 목록'!$H$3:$H$22, TMAXSOFT!$H3)</f>
        <v>20</v>
      </c>
      <c r="J3" s="47">
        <f>SUMIFS('OS 및 타입별 요약 및 상세 목록'!$J$3:$J$22, 'OS 및 타입별 요약 및 상세 목록'!$C$3:$C$22, TMAXSOFT!$C3, 'OS 및 타입별 요약 및 상세 목록'!$D$3:$D$22, TMAXSOFT!$D3, 'OS 및 타입별 요약 및 상세 목록'!$H$3:$H$22, TMAXSOFT!$H3)</f>
        <v>65</v>
      </c>
      <c r="K3" s="50">
        <f>SUM(J3:J4)</f>
        <v>131.5</v>
      </c>
      <c r="L3" s="46"/>
    </row>
    <row r="4" spans="2:12">
      <c r="B4" s="19">
        <v>2</v>
      </c>
      <c r="C4" s="15" t="s">
        <v>21</v>
      </c>
      <c r="D4" s="20" t="s">
        <v>29</v>
      </c>
      <c r="E4" s="21" t="s">
        <v>142</v>
      </c>
      <c r="F4" s="20" t="s">
        <v>23</v>
      </c>
      <c r="G4" s="20">
        <f>SUMIFS('OS 및 타입별 요약 및 상세 목록'!$G$3:$G$22, 'OS 및 타입별 요약 및 상세 목록'!$C$3:$C$22, TMAXSOFT!$C4, 'OS 및 타입별 요약 및 상세 목록'!$D$3:$D$22, TMAXSOFT!$D4, 'OS 및 타입별 요약 및 상세 목록'!$H$3:$H$22, TMAXSOFT!$H4)</f>
        <v>130</v>
      </c>
      <c r="H4" s="20">
        <v>0.5</v>
      </c>
      <c r="I4" s="20">
        <f>SUMIFS('OS 및 타입별 요약 및 상세 목록'!$I$3:$I$22, 'OS 및 타입별 요약 및 상세 목록'!$C$3:$C$22, TMAXSOFT!$C4, 'OS 및 타입별 요약 및 상세 목록'!$D$3:$D$22, TMAXSOFT!$D4, 'OS 및 타입별 요약 및 상세 목록'!$H$3:$H$22, TMAXSOFT!$H4)</f>
        <v>24</v>
      </c>
      <c r="J4" s="48">
        <f>SUMIFS('OS 및 타입별 요약 및 상세 목록'!$J$3:$J$22, 'OS 및 타입별 요약 및 상세 목록'!$C$3:$C$22, TMAXSOFT!$C4, 'OS 및 타입별 요약 및 상세 목록'!$D$3:$D$22, TMAXSOFT!$D4, 'OS 및 타입별 요약 및 상세 목록'!$H$3:$H$22, TMAXSOFT!$H4)</f>
        <v>66.5</v>
      </c>
      <c r="K4" s="51"/>
      <c r="L4" s="24"/>
    </row>
    <row r="5" spans="2:12">
      <c r="B5" s="27">
        <v>3</v>
      </c>
      <c r="C5" s="28" t="s">
        <v>31</v>
      </c>
      <c r="D5" s="29" t="s">
        <v>24</v>
      </c>
      <c r="E5" s="30" t="s">
        <v>142</v>
      </c>
      <c r="F5" s="29" t="s">
        <v>23</v>
      </c>
      <c r="G5" s="29">
        <f>SUMIFS('OS 및 타입별 요약 및 상세 목록'!$G$3:$G$22, 'OS 및 타입별 요약 및 상세 목록'!$C$3:$C$22, TMAXSOFT!$C5, 'OS 및 타입별 요약 및 상세 목록'!$D$3:$D$22, TMAXSOFT!$D5, 'OS 및 타입별 요약 및 상세 목록'!$H$3:$H$22, TMAXSOFT!$H5)</f>
        <v>17</v>
      </c>
      <c r="H5" s="29">
        <v>1</v>
      </c>
      <c r="I5" s="29">
        <f>SUMIFS('OS 및 타입별 요약 및 상세 목록'!$I$3:$I$22, 'OS 및 타입별 요약 및 상세 목록'!$C$3:$C$22, TMAXSOFT!$C5, 'OS 및 타입별 요약 및 상세 목록'!$D$3:$D$22, TMAXSOFT!$D5, 'OS 및 타입별 요약 및 상세 목록'!$H$3:$H$22, TMAXSOFT!$H5)</f>
        <v>10</v>
      </c>
      <c r="J5" s="31">
        <f>SUMIFS('OS 및 타입별 요약 및 상세 목록'!$J$3:$J$22, 'OS 및 타입별 요약 및 상세 목록'!$C$3:$C$22, TMAXSOFT!$C5, 'OS 및 타입별 요약 및 상세 목록'!$D$3:$D$22, TMAXSOFT!$D5, 'OS 및 타입별 요약 및 상세 목록'!$H$3:$H$22, TMAXSOFT!$H5)</f>
        <v>17</v>
      </c>
      <c r="K5" s="50">
        <f>SUM(J5:J6)</f>
        <v>41.5</v>
      </c>
      <c r="L5" s="25"/>
    </row>
    <row r="6" spans="2:12">
      <c r="B6" s="19">
        <v>4</v>
      </c>
      <c r="C6" s="15" t="s">
        <v>31</v>
      </c>
      <c r="D6" s="20" t="s">
        <v>29</v>
      </c>
      <c r="E6" s="21" t="s">
        <v>142</v>
      </c>
      <c r="F6" s="20" t="s">
        <v>23</v>
      </c>
      <c r="G6" s="20">
        <f>SUMIFS('OS 및 타입별 요약 및 상세 목록'!$G$3:$G$22, 'OS 및 타입별 요약 및 상세 목록'!$C$3:$C$22, TMAXSOFT!$C6, 'OS 및 타입별 요약 및 상세 목록'!$D$3:$D$22, TMAXSOFT!$D6, 'OS 및 타입별 요약 및 상세 목록'!$H$3:$H$22, TMAXSOFT!$H6)</f>
        <v>46</v>
      </c>
      <c r="H6" s="20">
        <v>0.5</v>
      </c>
      <c r="I6" s="20">
        <f>SUMIFS('OS 및 타입별 요약 및 상세 목록'!$I$3:$I$22, 'OS 및 타입별 요약 및 상세 목록'!$C$3:$C$22, TMAXSOFT!$C6, 'OS 및 타입별 요약 및 상세 목록'!$D$3:$D$22, TMAXSOFT!$D6, 'OS 및 타입별 요약 및 상세 목록'!$H$3:$H$22, TMAXSOFT!$H6)</f>
        <v>12</v>
      </c>
      <c r="J6" s="22">
        <f>SUMIFS('OS 및 타입별 요약 및 상세 목록'!$J$3:$J$22, 'OS 및 타입별 요약 및 상세 목록'!$C$3:$C$22, TMAXSOFT!$C6, 'OS 및 타입별 요약 및 상세 목록'!$D$3:$D$22, TMAXSOFT!$D6, 'OS 및 타입별 요약 및 상세 목록'!$H$3:$H$22, TMAXSOFT!$H6)</f>
        <v>24.5</v>
      </c>
      <c r="K6" s="50"/>
      <c r="L6" s="24"/>
    </row>
    <row r="7" spans="2:12">
      <c r="B7" s="27">
        <v>5</v>
      </c>
      <c r="C7" s="28" t="s">
        <v>32</v>
      </c>
      <c r="D7" s="33" t="s">
        <v>24</v>
      </c>
      <c r="E7" s="28" t="s">
        <v>143</v>
      </c>
      <c r="F7" s="33" t="s">
        <v>23</v>
      </c>
      <c r="G7" s="33">
        <f>SUMIFS('OS 및 타입별 요약 및 상세 목록'!$G$3:$G$22, 'OS 및 타입별 요약 및 상세 목록'!$C$3:$C$22, TMAXSOFT!$C7, 'OS 및 타입별 요약 및 상세 목록'!$D$3:$D$22, TMAXSOFT!$D7, 'OS 및 타입별 요약 및 상세 목록'!$H$3:$H$22, TMAXSOFT!$H7)-G9</f>
        <v>57</v>
      </c>
      <c r="H7" s="33">
        <v>1</v>
      </c>
      <c r="I7" s="33">
        <f>SUMIFS('OS 및 타입별 요약 및 상세 목록'!$I$3:$I$22, 'OS 및 타입별 요약 및 상세 목록'!$C$3:$C$22, TMAXSOFT!$C7, 'OS 및 타입별 요약 및 상세 목록'!$D$3:$D$22, TMAXSOFT!$D7, 'OS 및 타입별 요약 및 상세 목록'!$H$3:$H$22, TMAXSOFT!$H7)-I9</f>
        <v>9</v>
      </c>
      <c r="J7" s="34">
        <f>SUMIFS('OS 및 타입별 요약 및 상세 목록'!$J$3:$J$22, 'OS 및 타입별 요약 및 상세 목록'!$C$3:$C$22, TMAXSOFT!$C7, 'OS 및 타입별 요약 및 상세 목록'!$D$3:$D$22, TMAXSOFT!$D7, 'OS 및 타입별 요약 및 상세 목록'!$H$3:$H$22, TMAXSOFT!$H7)-J9</f>
        <v>57</v>
      </c>
      <c r="K7" s="50">
        <f>SUM(J7:J10)</f>
        <v>108</v>
      </c>
      <c r="L7" s="25"/>
    </row>
    <row r="8" spans="2:12">
      <c r="B8" s="26">
        <v>6</v>
      </c>
      <c r="C8" s="23" t="s">
        <v>32</v>
      </c>
      <c r="D8" s="35" t="s">
        <v>24</v>
      </c>
      <c r="E8" s="23" t="s">
        <v>25</v>
      </c>
      <c r="F8" s="35" t="s">
        <v>23</v>
      </c>
      <c r="G8" s="35">
        <f>SUMIFS('OS 및 타입별 요약 및 상세 목록'!$G$3:$G$22, 'OS 및 타입별 요약 및 상세 목록'!$C$3:$C$22, TMAXSOFT!$C8, 'OS 및 타입별 요약 및 상세 목록'!$D$3:$D$22, TMAXSOFT!$D8, 'OS 및 타입별 요약 및 상세 목록'!$H$3:$H$22, TMAXSOFT!$H8)</f>
        <v>12</v>
      </c>
      <c r="H8" s="35">
        <v>0.75</v>
      </c>
      <c r="I8" s="35">
        <f>SUMIFS('OS 및 타입별 요약 및 상세 목록'!$I$3:$I$22, 'OS 및 타입별 요약 및 상세 목록'!$C$3:$C$22, TMAXSOFT!$C8, 'OS 및 타입별 요약 및 상세 목록'!$D$3:$D$22, TMAXSOFT!$D8, 'OS 및 타입별 요약 및 상세 목록'!$H$3:$H$22, TMAXSOFT!$H8)</f>
        <v>2</v>
      </c>
      <c r="J8" s="36">
        <f>SUMIFS('OS 및 타입별 요약 및 상세 목록'!$J$3:$J$22, 'OS 및 타입별 요약 및 상세 목록'!$C$3:$C$22, TMAXSOFT!$C8, 'OS 및 타입별 요약 및 상세 목록'!$D$3:$D$22, TMAXSOFT!$D8, 'OS 및 타입별 요약 및 상세 목록'!$H$3:$H$22, TMAXSOFT!$H8)</f>
        <v>9</v>
      </c>
      <c r="K8" s="51"/>
      <c r="L8" s="37"/>
    </row>
    <row r="9" spans="2:12">
      <c r="B9" s="26">
        <v>7</v>
      </c>
      <c r="C9" s="23" t="s">
        <v>32</v>
      </c>
      <c r="D9" s="35" t="s">
        <v>24</v>
      </c>
      <c r="E9" s="23" t="s">
        <v>25</v>
      </c>
      <c r="F9" s="35" t="s">
        <v>23</v>
      </c>
      <c r="G9" s="35">
        <v>3</v>
      </c>
      <c r="H9" s="35">
        <v>1</v>
      </c>
      <c r="I9" s="35">
        <v>2</v>
      </c>
      <c r="J9" s="36">
        <v>3</v>
      </c>
      <c r="K9" s="51"/>
      <c r="L9" s="37" t="s">
        <v>146</v>
      </c>
    </row>
    <row r="10" spans="2:12">
      <c r="B10" s="19">
        <v>8</v>
      </c>
      <c r="C10" s="15" t="s">
        <v>32</v>
      </c>
      <c r="D10" s="14" t="s">
        <v>29</v>
      </c>
      <c r="E10" s="15" t="s">
        <v>25</v>
      </c>
      <c r="F10" s="14" t="s">
        <v>23</v>
      </c>
      <c r="G10" s="14">
        <f>SUMIFS('OS 및 타입별 요약 및 상세 목록'!$G$3:$G$22, 'OS 및 타입별 요약 및 상세 목록'!$C$3:$C$22, TMAXSOFT!$C10, 'OS 및 타입별 요약 및 상세 목록'!$D$3:$D$22, TMAXSOFT!$D10, 'OS 및 타입별 요약 및 상세 목록'!$H$3:$H$22, TMAXSOFT!$H10)</f>
        <v>78</v>
      </c>
      <c r="H10" s="14">
        <v>0.5</v>
      </c>
      <c r="I10" s="14">
        <f>SUMIFS('OS 및 타입별 요약 및 상세 목록'!$I$3:$I$22, 'OS 및 타입별 요약 및 상세 목록'!$C$3:$C$22, TMAXSOFT!$C10, 'OS 및 타입별 요약 및 상세 목록'!$D$3:$D$22, TMAXSOFT!$D10, 'OS 및 타입별 요약 및 상세 목록'!$H$3:$H$22, TMAXSOFT!$H10)</f>
        <v>10</v>
      </c>
      <c r="J10" s="32">
        <f>SUMIFS('OS 및 타입별 요약 및 상세 목록'!$J$3:$J$22, 'OS 및 타입별 요약 및 상세 목록'!$C$3:$C$22, TMAXSOFT!$C10, 'OS 및 타입별 요약 및 상세 목록'!$D$3:$D$22, TMAXSOFT!$D10, 'OS 및 타입별 요약 및 상세 목록'!$H$3:$H$22, TMAXSOFT!$H10)</f>
        <v>39</v>
      </c>
      <c r="K10" s="51"/>
      <c r="L10" s="24"/>
    </row>
    <row r="11" spans="2:12" ht="17.25" thickBot="1">
      <c r="B11" s="7">
        <v>9</v>
      </c>
      <c r="C11" s="8" t="s">
        <v>118</v>
      </c>
      <c r="D11" s="12" t="s">
        <v>119</v>
      </c>
      <c r="E11" s="8" t="s">
        <v>119</v>
      </c>
      <c r="F11" s="12" t="s">
        <v>120</v>
      </c>
      <c r="G11" s="49">
        <v>130</v>
      </c>
      <c r="H11" s="49"/>
      <c r="I11" s="49"/>
      <c r="J11" s="49"/>
      <c r="K11" s="12" t="s">
        <v>144</v>
      </c>
      <c r="L11" s="17"/>
    </row>
    <row r="23" spans="9:9">
      <c r="I23" s="18"/>
    </row>
  </sheetData>
  <mergeCells count="4">
    <mergeCell ref="G11:J11"/>
    <mergeCell ref="K3:K4"/>
    <mergeCell ref="K5:K6"/>
    <mergeCell ref="K7:K1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N116"/>
  <sheetViews>
    <sheetView zoomScale="80" zoomScaleNormal="80" workbookViewId="0">
      <pane xSplit="1" ySplit="26" topLeftCell="B31" activePane="bottomRight" state="frozen"/>
      <selection pane="topRight" activeCell="B1" sqref="B1"/>
      <selection pane="bottomLeft" activeCell="A26" sqref="A26"/>
      <selection pane="bottomRight" activeCell="Q13" sqref="Q13"/>
    </sheetView>
  </sheetViews>
  <sheetFormatPr defaultRowHeight="16.5"/>
  <cols>
    <col min="1" max="2" width="9" style="1"/>
    <col min="3" max="3" width="21.75" style="1" bestFit="1" customWidth="1"/>
    <col min="4" max="10" width="9" style="1"/>
    <col min="11" max="11" width="25.5" style="1" bestFit="1" customWidth="1"/>
    <col min="12" max="12" width="16.5" style="1" bestFit="1" customWidth="1"/>
    <col min="13" max="13" width="9.625" style="1" bestFit="1" customWidth="1"/>
    <col min="14" max="14" width="11" style="1" bestFit="1" customWidth="1"/>
    <col min="15" max="16384" width="9" style="1"/>
  </cols>
  <sheetData>
    <row r="1" spans="2:11" ht="17.25" thickBot="1">
      <c r="B1" s="1" t="s">
        <v>141</v>
      </c>
    </row>
    <row r="2" spans="2:11">
      <c r="B2" s="4" t="s">
        <v>18</v>
      </c>
      <c r="C2" s="5" t="s">
        <v>19</v>
      </c>
      <c r="D2" s="5" t="s">
        <v>22</v>
      </c>
      <c r="E2" s="5" t="s">
        <v>20</v>
      </c>
      <c r="F2" s="5" t="s">
        <v>28</v>
      </c>
      <c r="G2" s="5" t="s">
        <v>14</v>
      </c>
      <c r="H2" s="5" t="s">
        <v>15</v>
      </c>
      <c r="I2" s="5" t="s">
        <v>16</v>
      </c>
      <c r="J2" s="5" t="s">
        <v>17</v>
      </c>
      <c r="K2" s="6" t="s">
        <v>30</v>
      </c>
    </row>
    <row r="3" spans="2:11">
      <c r="B3" s="27">
        <v>1</v>
      </c>
      <c r="C3" s="28" t="s">
        <v>21</v>
      </c>
      <c r="D3" s="33" t="s">
        <v>24</v>
      </c>
      <c r="E3" s="33" t="s">
        <v>25</v>
      </c>
      <c r="F3" s="33" t="s">
        <v>23</v>
      </c>
      <c r="G3" s="33">
        <f t="shared" ref="G3:G14" si="0">SUMIFS($G$27:$G$115, $C$27:$C$115, $C3, $D$27:$D$115, $D3, $E$27:$E$115, $E3)</f>
        <v>46</v>
      </c>
      <c r="H3" s="33">
        <v>1</v>
      </c>
      <c r="I3" s="33">
        <f t="shared" ref="I3:I14" si="1">SUMIFS($I$27:$I$115, $C$27:$C$115, $C3, $D$27:$D$115, $D3, $E$27:$E$115, $E3)</f>
        <v>10</v>
      </c>
      <c r="J3" s="33">
        <f t="shared" ref="J3:J14" si="2">SUMIFS($J$27:$J$115, $C$27:$C$115, $C3, $D$27:$D$115, $D3, $E$27:$E$115, $E3)</f>
        <v>46</v>
      </c>
      <c r="K3" s="55">
        <f>SUM(J3:J8)</f>
        <v>131.5</v>
      </c>
    </row>
    <row r="4" spans="2:11">
      <c r="B4" s="41">
        <v>2</v>
      </c>
      <c r="C4" s="42" t="s">
        <v>21</v>
      </c>
      <c r="D4" s="43" t="s">
        <v>24</v>
      </c>
      <c r="E4" s="43" t="s">
        <v>26</v>
      </c>
      <c r="F4" s="43" t="s">
        <v>23</v>
      </c>
      <c r="G4" s="43">
        <f t="shared" si="0"/>
        <v>7</v>
      </c>
      <c r="H4" s="43">
        <v>1</v>
      </c>
      <c r="I4" s="43">
        <f t="shared" si="1"/>
        <v>5</v>
      </c>
      <c r="J4" s="43">
        <f t="shared" si="2"/>
        <v>7</v>
      </c>
      <c r="K4" s="55"/>
    </row>
    <row r="5" spans="2:11">
      <c r="B5" s="41">
        <v>3</v>
      </c>
      <c r="C5" s="42" t="s">
        <v>21</v>
      </c>
      <c r="D5" s="43" t="s">
        <v>24</v>
      </c>
      <c r="E5" s="43" t="s">
        <v>27</v>
      </c>
      <c r="F5" s="43" t="s">
        <v>23</v>
      </c>
      <c r="G5" s="43">
        <f t="shared" si="0"/>
        <v>12</v>
      </c>
      <c r="H5" s="43">
        <v>1</v>
      </c>
      <c r="I5" s="43">
        <f t="shared" si="1"/>
        <v>5</v>
      </c>
      <c r="J5" s="43">
        <f t="shared" si="2"/>
        <v>12</v>
      </c>
      <c r="K5" s="55"/>
    </row>
    <row r="6" spans="2:11">
      <c r="B6" s="26">
        <v>4</v>
      </c>
      <c r="C6" s="23" t="s">
        <v>21</v>
      </c>
      <c r="D6" s="35" t="s">
        <v>29</v>
      </c>
      <c r="E6" s="35" t="s">
        <v>25</v>
      </c>
      <c r="F6" s="35" t="s">
        <v>23</v>
      </c>
      <c r="G6" s="35">
        <f t="shared" si="0"/>
        <v>88</v>
      </c>
      <c r="H6" s="35">
        <v>0.5</v>
      </c>
      <c r="I6" s="35">
        <f t="shared" si="1"/>
        <v>13</v>
      </c>
      <c r="J6" s="35">
        <f t="shared" si="2"/>
        <v>44</v>
      </c>
      <c r="K6" s="55"/>
    </row>
    <row r="7" spans="2:11">
      <c r="B7" s="26">
        <v>5</v>
      </c>
      <c r="C7" s="23" t="s">
        <v>21</v>
      </c>
      <c r="D7" s="35" t="s">
        <v>29</v>
      </c>
      <c r="E7" s="35" t="s">
        <v>26</v>
      </c>
      <c r="F7" s="35" t="s">
        <v>23</v>
      </c>
      <c r="G7" s="35">
        <f t="shared" si="0"/>
        <v>11</v>
      </c>
      <c r="H7" s="35">
        <v>0.5</v>
      </c>
      <c r="I7" s="35">
        <f t="shared" si="1"/>
        <v>7</v>
      </c>
      <c r="J7" s="35">
        <f t="shared" si="2"/>
        <v>7</v>
      </c>
      <c r="K7" s="55"/>
    </row>
    <row r="8" spans="2:11">
      <c r="B8" s="19">
        <v>6</v>
      </c>
      <c r="C8" s="15" t="s">
        <v>21</v>
      </c>
      <c r="D8" s="14" t="s">
        <v>29</v>
      </c>
      <c r="E8" s="14" t="s">
        <v>27</v>
      </c>
      <c r="F8" s="14" t="s">
        <v>23</v>
      </c>
      <c r="G8" s="14">
        <f t="shared" si="0"/>
        <v>31</v>
      </c>
      <c r="H8" s="14">
        <v>0.5</v>
      </c>
      <c r="I8" s="14">
        <f t="shared" si="1"/>
        <v>4</v>
      </c>
      <c r="J8" s="14">
        <f t="shared" si="2"/>
        <v>15.5</v>
      </c>
      <c r="K8" s="55"/>
    </row>
    <row r="9" spans="2:11">
      <c r="B9" s="38">
        <v>7</v>
      </c>
      <c r="C9" s="39" t="s">
        <v>31</v>
      </c>
      <c r="D9" s="40" t="s">
        <v>24</v>
      </c>
      <c r="E9" s="40" t="s">
        <v>25</v>
      </c>
      <c r="F9" s="40" t="s">
        <v>23</v>
      </c>
      <c r="G9" s="40">
        <f t="shared" si="0"/>
        <v>8</v>
      </c>
      <c r="H9" s="40">
        <v>1</v>
      </c>
      <c r="I9" s="40">
        <f t="shared" si="1"/>
        <v>4</v>
      </c>
      <c r="J9" s="40">
        <f t="shared" si="2"/>
        <v>8</v>
      </c>
      <c r="K9" s="55">
        <f>SUM(J9:J14)</f>
        <v>41.5</v>
      </c>
    </row>
    <row r="10" spans="2:11">
      <c r="B10" s="26">
        <v>8</v>
      </c>
      <c r="C10" s="23" t="s">
        <v>31</v>
      </c>
      <c r="D10" s="35" t="s">
        <v>24</v>
      </c>
      <c r="E10" s="35" t="s">
        <v>26</v>
      </c>
      <c r="F10" s="35" t="s">
        <v>23</v>
      </c>
      <c r="G10" s="35">
        <f t="shared" si="0"/>
        <v>7</v>
      </c>
      <c r="H10" s="35">
        <v>1</v>
      </c>
      <c r="I10" s="35">
        <f t="shared" si="1"/>
        <v>5</v>
      </c>
      <c r="J10" s="35">
        <f t="shared" si="2"/>
        <v>7</v>
      </c>
      <c r="K10" s="55"/>
    </row>
    <row r="11" spans="2:11">
      <c r="B11" s="26">
        <v>9</v>
      </c>
      <c r="C11" s="23" t="s">
        <v>31</v>
      </c>
      <c r="D11" s="35" t="s">
        <v>24</v>
      </c>
      <c r="E11" s="35" t="s">
        <v>27</v>
      </c>
      <c r="F11" s="35" t="s">
        <v>23</v>
      </c>
      <c r="G11" s="35">
        <f t="shared" si="0"/>
        <v>2</v>
      </c>
      <c r="H11" s="35">
        <v>1</v>
      </c>
      <c r="I11" s="35">
        <f t="shared" si="1"/>
        <v>1</v>
      </c>
      <c r="J11" s="35">
        <f t="shared" si="2"/>
        <v>2</v>
      </c>
      <c r="K11" s="55"/>
    </row>
    <row r="12" spans="2:11">
      <c r="B12" s="26">
        <v>10</v>
      </c>
      <c r="C12" s="23" t="s">
        <v>31</v>
      </c>
      <c r="D12" s="35" t="s">
        <v>29</v>
      </c>
      <c r="E12" s="35" t="s">
        <v>25</v>
      </c>
      <c r="F12" s="35" t="s">
        <v>23</v>
      </c>
      <c r="G12" s="35">
        <f t="shared" si="0"/>
        <v>2</v>
      </c>
      <c r="H12" s="35">
        <v>0.5</v>
      </c>
      <c r="I12" s="35">
        <f t="shared" si="1"/>
        <v>1</v>
      </c>
      <c r="J12" s="35">
        <f t="shared" si="2"/>
        <v>1</v>
      </c>
      <c r="K12" s="55"/>
    </row>
    <row r="13" spans="2:11">
      <c r="B13" s="26">
        <v>11</v>
      </c>
      <c r="C13" s="23" t="s">
        <v>31</v>
      </c>
      <c r="D13" s="35" t="s">
        <v>29</v>
      </c>
      <c r="E13" s="35" t="s">
        <v>26</v>
      </c>
      <c r="F13" s="35" t="s">
        <v>23</v>
      </c>
      <c r="G13" s="35">
        <f t="shared" si="0"/>
        <v>13</v>
      </c>
      <c r="H13" s="35">
        <v>0.5</v>
      </c>
      <c r="I13" s="35">
        <f t="shared" si="1"/>
        <v>7</v>
      </c>
      <c r="J13" s="35">
        <f t="shared" si="2"/>
        <v>8</v>
      </c>
      <c r="K13" s="55"/>
    </row>
    <row r="14" spans="2:11">
      <c r="B14" s="19">
        <v>12</v>
      </c>
      <c r="C14" s="15" t="s">
        <v>31</v>
      </c>
      <c r="D14" s="14" t="s">
        <v>29</v>
      </c>
      <c r="E14" s="14" t="s">
        <v>27</v>
      </c>
      <c r="F14" s="14" t="s">
        <v>23</v>
      </c>
      <c r="G14" s="14">
        <f t="shared" si="0"/>
        <v>31</v>
      </c>
      <c r="H14" s="14">
        <v>0.5</v>
      </c>
      <c r="I14" s="14">
        <f t="shared" si="1"/>
        <v>4</v>
      </c>
      <c r="J14" s="14">
        <f t="shared" si="2"/>
        <v>15.5</v>
      </c>
      <c r="K14" s="55"/>
    </row>
    <row r="15" spans="2:11">
      <c r="B15" s="38">
        <v>13</v>
      </c>
      <c r="C15" s="39" t="s">
        <v>32</v>
      </c>
      <c r="D15" s="40" t="s">
        <v>24</v>
      </c>
      <c r="E15" s="40" t="s">
        <v>25</v>
      </c>
      <c r="F15" s="40" t="s">
        <v>23</v>
      </c>
      <c r="G15" s="40">
        <f>SUMIFS($G$27:$G$115, $C$27:$C$115, $C15, $D$27:$D$115, $D15, $E$27:$E$115, $E15, $H$27:$H$115, $H15)-G17</f>
        <v>48</v>
      </c>
      <c r="H15" s="40">
        <v>1</v>
      </c>
      <c r="I15" s="40">
        <f>SUMIFS($I$27:$I$115, $C$27:$C$115, $C15, $D$27:$D$115, $D15, $E$27:$E$115, $E15, $H$27:$H$115, $H15)-I17</f>
        <v>6</v>
      </c>
      <c r="J15" s="40">
        <f>SUMIFS($J$27:$J$115, $C$27:$C$115, $C15, $D$27:$D$115, $D15, $E$27:$E$115, $E15, $H$27:$H$115, $H15)-J17</f>
        <v>48</v>
      </c>
      <c r="K15" s="55">
        <f>SUM(J15:J22)</f>
        <v>108</v>
      </c>
    </row>
    <row r="16" spans="2:11">
      <c r="B16" s="26">
        <v>14</v>
      </c>
      <c r="C16" s="23" t="s">
        <v>32</v>
      </c>
      <c r="D16" s="35" t="s">
        <v>24</v>
      </c>
      <c r="E16" s="35" t="s">
        <v>25</v>
      </c>
      <c r="F16" s="35" t="s">
        <v>23</v>
      </c>
      <c r="G16" s="35">
        <f>SUMIFS($G$27:$G$115, $C$27:$C$115, $C16, $D$27:$D$115, $D16, $E$27:$E$115, $E16, $H$27:$H$115, $H16)</f>
        <v>12</v>
      </c>
      <c r="H16" s="35">
        <v>0.75</v>
      </c>
      <c r="I16" s="35">
        <f>SUMIFS($I$27:$I$115, $C$27:$C$115, $C16, $D$27:$D$115, $D16, $E$27:$E$115, $E16, $H$27:$H$115, $H16)</f>
        <v>2</v>
      </c>
      <c r="J16" s="35">
        <f>SUMIFS($J$27:$J$115, $C$27:$C$115, $C16, $D$27:$D$115, $D16, $E$27:$E$115, $E16, $H$27:$H$115, $H16)</f>
        <v>9</v>
      </c>
      <c r="K16" s="55"/>
    </row>
    <row r="17" spans="2:14">
      <c r="B17" s="26">
        <v>13</v>
      </c>
      <c r="C17" s="23" t="s">
        <v>32</v>
      </c>
      <c r="D17" s="35" t="s">
        <v>24</v>
      </c>
      <c r="E17" s="35" t="s">
        <v>25</v>
      </c>
      <c r="F17" s="35" t="s">
        <v>23</v>
      </c>
      <c r="G17" s="35">
        <v>3</v>
      </c>
      <c r="H17" s="35">
        <v>1</v>
      </c>
      <c r="I17" s="35">
        <v>2</v>
      </c>
      <c r="J17" s="35">
        <v>3</v>
      </c>
      <c r="K17" s="55"/>
    </row>
    <row r="18" spans="2:14">
      <c r="B18" s="26">
        <v>15</v>
      </c>
      <c r="C18" s="23" t="s">
        <v>32</v>
      </c>
      <c r="D18" s="35" t="s">
        <v>24</v>
      </c>
      <c r="E18" s="35" t="s">
        <v>26</v>
      </c>
      <c r="F18" s="35" t="s">
        <v>23</v>
      </c>
      <c r="G18" s="35">
        <f>SUMIFS($G$27:$G$115, $C$27:$C$115, $C18, $D$27:$D$115, $D18, $E$27:$E$115, $E18)</f>
        <v>0</v>
      </c>
      <c r="H18" s="35">
        <v>1</v>
      </c>
      <c r="I18" s="35">
        <f>SUMIFS($I$27:$I$115, $C$27:$C$115, $C18, $D$27:$D$115, $D18, $E$27:$E$115, $E18)</f>
        <v>0</v>
      </c>
      <c r="J18" s="35">
        <f>SUMIFS($J$27:$J$115, $C$27:$C$115, $C18, $D$27:$D$115, $D18, $E$27:$E$115, $E18)</f>
        <v>0</v>
      </c>
      <c r="K18" s="55"/>
    </row>
    <row r="19" spans="2:14">
      <c r="B19" s="26">
        <v>16</v>
      </c>
      <c r="C19" s="23" t="s">
        <v>32</v>
      </c>
      <c r="D19" s="35" t="s">
        <v>24</v>
      </c>
      <c r="E19" s="35" t="s">
        <v>27</v>
      </c>
      <c r="F19" s="35" t="s">
        <v>23</v>
      </c>
      <c r="G19" s="35">
        <f>SUMIFS($G$27:$G$115, $C$27:$C$115, $C19, $D$27:$D$115, $D19, $E$27:$E$115, $E19)</f>
        <v>9</v>
      </c>
      <c r="H19" s="35">
        <v>1</v>
      </c>
      <c r="I19" s="35">
        <f>SUMIFS($I$27:$I$115, $C$27:$C$115, $C19, $D$27:$D$115, $D19, $E$27:$E$115, $E19)</f>
        <v>3</v>
      </c>
      <c r="J19" s="35">
        <f>SUMIFS($J$27:$J$115, $C$27:$C$115, $C19, $D$27:$D$115, $D19, $E$27:$E$115, $E19)</f>
        <v>9</v>
      </c>
      <c r="K19" s="55"/>
    </row>
    <row r="20" spans="2:14">
      <c r="B20" s="26">
        <v>17</v>
      </c>
      <c r="C20" s="23" t="s">
        <v>32</v>
      </c>
      <c r="D20" s="35" t="s">
        <v>29</v>
      </c>
      <c r="E20" s="35" t="s">
        <v>25</v>
      </c>
      <c r="F20" s="35" t="s">
        <v>23</v>
      </c>
      <c r="G20" s="35">
        <f>SUMIFS($G$27:$G$115, $C$27:$C$115, $C20, $D$27:$D$115, $D20, $E$27:$E$115, $E20)</f>
        <v>78</v>
      </c>
      <c r="H20" s="35">
        <v>0.5</v>
      </c>
      <c r="I20" s="35">
        <f>SUMIFS($I$27:$I$115, $C$27:$C$115, $C20, $D$27:$D$115, $D20, $E$27:$E$115, $E20)</f>
        <v>10</v>
      </c>
      <c r="J20" s="35">
        <f>SUMIFS($J$27:$J$115, $C$27:$C$115, $C20, $D$27:$D$115, $D20, $E$27:$E$115, $E20)</f>
        <v>39</v>
      </c>
      <c r="K20" s="55"/>
    </row>
    <row r="21" spans="2:14">
      <c r="B21" s="26">
        <v>18</v>
      </c>
      <c r="C21" s="23" t="s">
        <v>32</v>
      </c>
      <c r="D21" s="35" t="s">
        <v>29</v>
      </c>
      <c r="E21" s="35" t="s">
        <v>26</v>
      </c>
      <c r="F21" s="35" t="s">
        <v>23</v>
      </c>
      <c r="G21" s="35">
        <f>SUMIFS($G$27:$G$115, $C$27:$C$115, $C21, $D$27:$D$115, $D21, $E$27:$E$115, $E21)</f>
        <v>0</v>
      </c>
      <c r="H21" s="35">
        <v>0.5</v>
      </c>
      <c r="I21" s="35">
        <f>SUMIFS($I$27:$I$115, $C$27:$C$115, $C21, $D$27:$D$115, $D21, $E$27:$E$115, $E21)</f>
        <v>0</v>
      </c>
      <c r="J21" s="35">
        <f>SUMIFS($J$27:$J$115, $C$27:$C$115, $C21, $D$27:$D$115, $D21, $E$27:$E$115, $E21)</f>
        <v>0</v>
      </c>
      <c r="K21" s="55"/>
    </row>
    <row r="22" spans="2:14">
      <c r="B22" s="19">
        <v>19</v>
      </c>
      <c r="C22" s="15" t="s">
        <v>32</v>
      </c>
      <c r="D22" s="14" t="s">
        <v>29</v>
      </c>
      <c r="E22" s="14" t="s">
        <v>27</v>
      </c>
      <c r="F22" s="14" t="s">
        <v>23</v>
      </c>
      <c r="G22" s="14">
        <f>SUMIFS($G$27:$G$115, $C$27:$C$115, $C22, $D$27:$D$115, $D22, $E$27:$E$115, $E22)</f>
        <v>0</v>
      </c>
      <c r="H22" s="14">
        <v>0.5</v>
      </c>
      <c r="I22" s="14">
        <f>SUMIFS($I$27:$I$115, $C$27:$C$115, $C22, $D$27:$D$115, $D22, $E$27:$E$115, $E22)</f>
        <v>0</v>
      </c>
      <c r="J22" s="14">
        <f>SUMIFS($J$27:$J$115, $C$27:$C$115, $C22, $D$27:$D$115, $D22, $E$27:$E$115, $E22)</f>
        <v>0</v>
      </c>
      <c r="K22" s="55"/>
    </row>
    <row r="23" spans="2:14" ht="17.25" thickBot="1">
      <c r="B23" s="7">
        <v>20</v>
      </c>
      <c r="C23" s="8" t="s">
        <v>118</v>
      </c>
      <c r="D23" s="9" t="s">
        <v>119</v>
      </c>
      <c r="E23" s="9" t="s">
        <v>119</v>
      </c>
      <c r="F23" s="9" t="s">
        <v>120</v>
      </c>
      <c r="G23" s="49">
        <v>130</v>
      </c>
      <c r="H23" s="49"/>
      <c r="I23" s="49"/>
      <c r="J23" s="49"/>
      <c r="K23" s="13" t="s">
        <v>121</v>
      </c>
    </row>
    <row r="25" spans="2:14">
      <c r="B25" s="1" t="s">
        <v>140</v>
      </c>
    </row>
    <row r="26" spans="2:14">
      <c r="B26" s="10" t="s">
        <v>1</v>
      </c>
      <c r="C26" s="10" t="s">
        <v>2</v>
      </c>
      <c r="D26" s="10" t="s">
        <v>0</v>
      </c>
      <c r="E26" s="10" t="s">
        <v>6</v>
      </c>
      <c r="F26" s="10" t="s">
        <v>10</v>
      </c>
      <c r="G26" s="10" t="s">
        <v>14</v>
      </c>
      <c r="H26" s="10" t="s">
        <v>15</v>
      </c>
      <c r="I26" s="10" t="s">
        <v>16</v>
      </c>
      <c r="J26" s="10" t="s">
        <v>17</v>
      </c>
      <c r="K26" s="10" t="s">
        <v>122</v>
      </c>
      <c r="L26" s="10" t="s">
        <v>123</v>
      </c>
      <c r="M26" s="10" t="s">
        <v>124</v>
      </c>
      <c r="N26" s="10" t="s">
        <v>125</v>
      </c>
    </row>
    <row r="27" spans="2:14" ht="49.5" hidden="1">
      <c r="B27" s="2">
        <v>1</v>
      </c>
      <c r="C27" s="3" t="s">
        <v>3</v>
      </c>
      <c r="D27" s="2" t="s">
        <v>12</v>
      </c>
      <c r="E27" s="2" t="s">
        <v>7</v>
      </c>
      <c r="F27" s="2" t="s">
        <v>11</v>
      </c>
      <c r="G27" s="2">
        <v>18</v>
      </c>
      <c r="H27" s="2">
        <v>0.5</v>
      </c>
      <c r="I27" s="2">
        <v>1</v>
      </c>
      <c r="J27" s="2">
        <v>9</v>
      </c>
      <c r="K27" s="11" t="s">
        <v>33</v>
      </c>
      <c r="L27" s="3" t="s">
        <v>126</v>
      </c>
      <c r="M27" s="2" t="s">
        <v>127</v>
      </c>
      <c r="N27" s="2" t="s">
        <v>128</v>
      </c>
    </row>
    <row r="28" spans="2:14" hidden="1">
      <c r="B28" s="2">
        <v>2</v>
      </c>
      <c r="C28" s="3" t="s">
        <v>4</v>
      </c>
      <c r="D28" s="2" t="s">
        <v>12</v>
      </c>
      <c r="E28" s="2" t="s">
        <v>8</v>
      </c>
      <c r="F28" s="2" t="s">
        <v>11</v>
      </c>
      <c r="G28" s="2">
        <v>20</v>
      </c>
      <c r="H28" s="2">
        <v>0.5</v>
      </c>
      <c r="I28" s="2">
        <v>1</v>
      </c>
      <c r="J28" s="2">
        <v>10</v>
      </c>
      <c r="K28" s="3" t="s">
        <v>34</v>
      </c>
      <c r="L28" s="3" t="s">
        <v>126</v>
      </c>
      <c r="M28" s="2" t="s">
        <v>127</v>
      </c>
      <c r="N28" s="2" t="s">
        <v>128</v>
      </c>
    </row>
    <row r="29" spans="2:14" hidden="1">
      <c r="B29" s="2">
        <v>3</v>
      </c>
      <c r="C29" s="3" t="s">
        <v>4</v>
      </c>
      <c r="D29" s="2" t="s">
        <v>12</v>
      </c>
      <c r="E29" s="2" t="s">
        <v>8</v>
      </c>
      <c r="F29" s="2" t="s">
        <v>11</v>
      </c>
      <c r="G29" s="2">
        <v>20</v>
      </c>
      <c r="H29" s="2">
        <v>0.5</v>
      </c>
      <c r="I29" s="2">
        <v>1</v>
      </c>
      <c r="J29" s="2">
        <v>10</v>
      </c>
      <c r="K29" s="3" t="s">
        <v>35</v>
      </c>
      <c r="L29" s="3" t="s">
        <v>126</v>
      </c>
      <c r="M29" s="2" t="s">
        <v>127</v>
      </c>
      <c r="N29" s="2" t="s">
        <v>128</v>
      </c>
    </row>
    <row r="30" spans="2:14" hidden="1">
      <c r="B30" s="2">
        <v>4</v>
      </c>
      <c r="C30" s="3" t="s">
        <v>3</v>
      </c>
      <c r="D30" s="2" t="s">
        <v>12</v>
      </c>
      <c r="E30" s="2" t="s">
        <v>9</v>
      </c>
      <c r="F30" s="2" t="s">
        <v>11</v>
      </c>
      <c r="G30" s="2">
        <v>2</v>
      </c>
      <c r="H30" s="2">
        <v>0.5</v>
      </c>
      <c r="I30" s="2">
        <v>1</v>
      </c>
      <c r="J30" s="2">
        <v>1</v>
      </c>
      <c r="K30" s="3" t="s">
        <v>36</v>
      </c>
      <c r="L30" s="3" t="s">
        <v>126</v>
      </c>
      <c r="M30" s="2" t="s">
        <v>127</v>
      </c>
      <c r="N30" s="2" t="s">
        <v>128</v>
      </c>
    </row>
    <row r="31" spans="2:14">
      <c r="B31" s="2">
        <v>5</v>
      </c>
      <c r="C31" s="3" t="s">
        <v>4</v>
      </c>
      <c r="D31" s="2" t="s">
        <v>13</v>
      </c>
      <c r="E31" s="2" t="s">
        <v>8</v>
      </c>
      <c r="F31" s="2" t="s">
        <v>11</v>
      </c>
      <c r="G31" s="2">
        <v>7</v>
      </c>
      <c r="H31" s="2">
        <v>1</v>
      </c>
      <c r="I31" s="2">
        <v>1</v>
      </c>
      <c r="J31" s="2">
        <v>7</v>
      </c>
      <c r="K31" s="3" t="s">
        <v>37</v>
      </c>
      <c r="L31" s="3" t="s">
        <v>129</v>
      </c>
      <c r="M31" s="2" t="s">
        <v>127</v>
      </c>
      <c r="N31" s="2" t="s">
        <v>128</v>
      </c>
    </row>
    <row r="32" spans="2:14">
      <c r="B32" s="2">
        <v>6</v>
      </c>
      <c r="C32" s="3" t="s">
        <v>4</v>
      </c>
      <c r="D32" s="2" t="s">
        <v>13</v>
      </c>
      <c r="E32" s="2" t="s">
        <v>8</v>
      </c>
      <c r="F32" s="2" t="s">
        <v>11</v>
      </c>
      <c r="G32" s="2">
        <v>7</v>
      </c>
      <c r="H32" s="2">
        <v>1</v>
      </c>
      <c r="I32" s="2">
        <v>1</v>
      </c>
      <c r="J32" s="2">
        <v>7</v>
      </c>
      <c r="K32" s="3" t="s">
        <v>38</v>
      </c>
      <c r="L32" s="3" t="s">
        <v>129</v>
      </c>
      <c r="M32" s="2" t="s">
        <v>127</v>
      </c>
      <c r="N32" s="2" t="s">
        <v>128</v>
      </c>
    </row>
    <row r="33" spans="2:14" hidden="1">
      <c r="B33" s="2">
        <v>7</v>
      </c>
      <c r="C33" s="3" t="s">
        <v>3</v>
      </c>
      <c r="D33" s="2" t="s">
        <v>12</v>
      </c>
      <c r="E33" s="2" t="s">
        <v>9</v>
      </c>
      <c r="F33" s="2" t="s">
        <v>11</v>
      </c>
      <c r="G33" s="2">
        <v>1</v>
      </c>
      <c r="H33" s="2">
        <v>0.5</v>
      </c>
      <c r="I33" s="2">
        <v>1</v>
      </c>
      <c r="J33" s="2">
        <v>1</v>
      </c>
      <c r="K33" s="3" t="s">
        <v>39</v>
      </c>
      <c r="L33" s="3" t="s">
        <v>129</v>
      </c>
      <c r="M33" s="2" t="s">
        <v>127</v>
      </c>
      <c r="N33" s="2" t="s">
        <v>128</v>
      </c>
    </row>
    <row r="34" spans="2:14" hidden="1">
      <c r="B34" s="2">
        <v>8</v>
      </c>
      <c r="C34" s="3" t="s">
        <v>3</v>
      </c>
      <c r="D34" s="2" t="s">
        <v>12</v>
      </c>
      <c r="E34" s="2" t="s">
        <v>7</v>
      </c>
      <c r="F34" s="2" t="s">
        <v>11</v>
      </c>
      <c r="G34" s="2">
        <v>2</v>
      </c>
      <c r="H34" s="2">
        <v>0.5</v>
      </c>
      <c r="I34" s="2">
        <v>1</v>
      </c>
      <c r="J34" s="2">
        <v>1</v>
      </c>
      <c r="K34" s="3" t="s">
        <v>40</v>
      </c>
      <c r="L34" s="3" t="s">
        <v>130</v>
      </c>
      <c r="M34" s="2" t="s">
        <v>127</v>
      </c>
      <c r="N34" s="2" t="s">
        <v>128</v>
      </c>
    </row>
    <row r="35" spans="2:14" hidden="1">
      <c r="B35" s="2">
        <v>9</v>
      </c>
      <c r="C35" s="3" t="s">
        <v>4</v>
      </c>
      <c r="D35" s="2" t="s">
        <v>12</v>
      </c>
      <c r="E35" s="2" t="s">
        <v>8</v>
      </c>
      <c r="F35" s="2" t="s">
        <v>11</v>
      </c>
      <c r="G35" s="2">
        <v>2</v>
      </c>
      <c r="H35" s="2">
        <v>0.5</v>
      </c>
      <c r="I35" s="2">
        <v>1</v>
      </c>
      <c r="J35" s="2">
        <v>1</v>
      </c>
      <c r="K35" s="3" t="s">
        <v>41</v>
      </c>
      <c r="L35" s="3" t="s">
        <v>130</v>
      </c>
      <c r="M35" s="2" t="s">
        <v>127</v>
      </c>
      <c r="N35" s="2" t="s">
        <v>128</v>
      </c>
    </row>
    <row r="36" spans="2:14" hidden="1">
      <c r="B36" s="2">
        <v>10</v>
      </c>
      <c r="C36" s="3" t="s">
        <v>4</v>
      </c>
      <c r="D36" s="2" t="s">
        <v>12</v>
      </c>
      <c r="E36" s="2" t="s">
        <v>8</v>
      </c>
      <c r="F36" s="2" t="s">
        <v>11</v>
      </c>
      <c r="G36" s="2">
        <v>2</v>
      </c>
      <c r="H36" s="2">
        <v>0.5</v>
      </c>
      <c r="I36" s="2">
        <v>1</v>
      </c>
      <c r="J36" s="2">
        <v>1</v>
      </c>
      <c r="K36" s="3" t="s">
        <v>42</v>
      </c>
      <c r="L36" s="3" t="s">
        <v>130</v>
      </c>
      <c r="M36" s="2" t="s">
        <v>127</v>
      </c>
      <c r="N36" s="2" t="s">
        <v>128</v>
      </c>
    </row>
    <row r="37" spans="2:14" hidden="1">
      <c r="B37" s="2">
        <v>11</v>
      </c>
      <c r="C37" s="3" t="s">
        <v>3</v>
      </c>
      <c r="D37" s="2" t="s">
        <v>12</v>
      </c>
      <c r="E37" s="2" t="s">
        <v>9</v>
      </c>
      <c r="F37" s="2" t="s">
        <v>11</v>
      </c>
      <c r="G37" s="2">
        <v>2</v>
      </c>
      <c r="H37" s="2">
        <v>0.5</v>
      </c>
      <c r="I37" s="2">
        <v>1</v>
      </c>
      <c r="J37" s="2">
        <v>1</v>
      </c>
      <c r="K37" s="3" t="s">
        <v>43</v>
      </c>
      <c r="L37" s="3" t="s">
        <v>130</v>
      </c>
      <c r="M37" s="2" t="s">
        <v>127</v>
      </c>
      <c r="N37" s="2" t="s">
        <v>128</v>
      </c>
    </row>
    <row r="38" spans="2:14">
      <c r="B38" s="2">
        <v>12</v>
      </c>
      <c r="C38" s="3" t="s">
        <v>4</v>
      </c>
      <c r="D38" s="2" t="s">
        <v>13</v>
      </c>
      <c r="E38" s="2" t="s">
        <v>7</v>
      </c>
      <c r="F38" s="2" t="s">
        <v>11</v>
      </c>
      <c r="G38" s="2">
        <v>3</v>
      </c>
      <c r="H38" s="2">
        <v>1</v>
      </c>
      <c r="I38" s="2">
        <v>1</v>
      </c>
      <c r="J38" s="2">
        <v>3</v>
      </c>
      <c r="K38" s="3" t="s">
        <v>44</v>
      </c>
      <c r="L38" s="3" t="s">
        <v>131</v>
      </c>
      <c r="M38" s="2" t="s">
        <v>127</v>
      </c>
      <c r="N38" s="2" t="s">
        <v>128</v>
      </c>
    </row>
    <row r="39" spans="2:14">
      <c r="B39" s="2">
        <v>13</v>
      </c>
      <c r="C39" s="3" t="s">
        <v>4</v>
      </c>
      <c r="D39" s="2" t="s">
        <v>13</v>
      </c>
      <c r="E39" s="2" t="s">
        <v>7</v>
      </c>
      <c r="F39" s="2" t="s">
        <v>11</v>
      </c>
      <c r="G39" s="2">
        <v>2</v>
      </c>
      <c r="H39" s="2">
        <v>1</v>
      </c>
      <c r="I39" s="2">
        <v>1</v>
      </c>
      <c r="J39" s="2">
        <v>2</v>
      </c>
      <c r="K39" s="3" t="s">
        <v>45</v>
      </c>
      <c r="L39" s="3" t="s">
        <v>131</v>
      </c>
      <c r="M39" s="2" t="s">
        <v>127</v>
      </c>
      <c r="N39" s="2" t="s">
        <v>128</v>
      </c>
    </row>
    <row r="40" spans="2:14" hidden="1">
      <c r="B40" s="2">
        <v>14</v>
      </c>
      <c r="C40" s="3" t="s">
        <v>3</v>
      </c>
      <c r="D40" s="2" t="s">
        <v>13</v>
      </c>
      <c r="E40" s="2" t="s">
        <v>7</v>
      </c>
      <c r="F40" s="2" t="s">
        <v>11</v>
      </c>
      <c r="G40" s="2">
        <v>2</v>
      </c>
      <c r="H40" s="2">
        <v>1</v>
      </c>
      <c r="I40" s="2">
        <v>1</v>
      </c>
      <c r="J40" s="2">
        <v>2</v>
      </c>
      <c r="K40" s="3" t="s">
        <v>46</v>
      </c>
      <c r="L40" s="3" t="s">
        <v>131</v>
      </c>
      <c r="M40" s="2" t="s">
        <v>127</v>
      </c>
      <c r="N40" s="2" t="s">
        <v>128</v>
      </c>
    </row>
    <row r="41" spans="2:14" hidden="1">
      <c r="B41" s="2">
        <v>15</v>
      </c>
      <c r="C41" s="3" t="s">
        <v>3</v>
      </c>
      <c r="D41" s="2" t="s">
        <v>12</v>
      </c>
      <c r="E41" s="2" t="s">
        <v>9</v>
      </c>
      <c r="F41" s="2" t="s">
        <v>11</v>
      </c>
      <c r="G41" s="2">
        <v>2</v>
      </c>
      <c r="H41" s="2">
        <v>0.5</v>
      </c>
      <c r="I41" s="2">
        <v>1</v>
      </c>
      <c r="J41" s="2">
        <v>1</v>
      </c>
      <c r="K41" s="3" t="s">
        <v>47</v>
      </c>
      <c r="L41" s="3" t="s">
        <v>132</v>
      </c>
      <c r="M41" s="2" t="s">
        <v>127</v>
      </c>
      <c r="N41" s="2" t="s">
        <v>128</v>
      </c>
    </row>
    <row r="42" spans="2:14" hidden="1">
      <c r="B42" s="2">
        <v>16</v>
      </c>
      <c r="C42" s="3" t="s">
        <v>3</v>
      </c>
      <c r="D42" s="2" t="s">
        <v>12</v>
      </c>
      <c r="E42" s="2" t="s">
        <v>8</v>
      </c>
      <c r="F42" s="2" t="s">
        <v>11</v>
      </c>
      <c r="G42" s="2">
        <v>2</v>
      </c>
      <c r="H42" s="2">
        <v>0.5</v>
      </c>
      <c r="I42" s="2">
        <v>1</v>
      </c>
      <c r="J42" s="2">
        <v>1</v>
      </c>
      <c r="K42" s="3" t="s">
        <v>48</v>
      </c>
      <c r="L42" s="3" t="s">
        <v>133</v>
      </c>
      <c r="M42" s="2" t="s">
        <v>127</v>
      </c>
      <c r="N42" s="2" t="s">
        <v>128</v>
      </c>
    </row>
    <row r="43" spans="2:14" hidden="1">
      <c r="B43" s="2">
        <v>17</v>
      </c>
      <c r="C43" s="3" t="s">
        <v>3</v>
      </c>
      <c r="D43" s="2" t="s">
        <v>12</v>
      </c>
      <c r="E43" s="2" t="s">
        <v>9</v>
      </c>
      <c r="F43" s="2" t="s">
        <v>11</v>
      </c>
      <c r="G43" s="2">
        <v>1</v>
      </c>
      <c r="H43" s="2">
        <v>0.5</v>
      </c>
      <c r="I43" s="2">
        <v>1</v>
      </c>
      <c r="J43" s="2">
        <v>1</v>
      </c>
      <c r="K43" s="3" t="s">
        <v>49</v>
      </c>
      <c r="L43" s="3" t="s">
        <v>133</v>
      </c>
      <c r="M43" s="2" t="s">
        <v>127</v>
      </c>
      <c r="N43" s="2" t="s">
        <v>128</v>
      </c>
    </row>
    <row r="44" spans="2:14" hidden="1">
      <c r="B44" s="2">
        <v>18</v>
      </c>
      <c r="C44" s="3" t="s">
        <v>3</v>
      </c>
      <c r="D44" s="2" t="s">
        <v>12</v>
      </c>
      <c r="E44" s="2" t="s">
        <v>7</v>
      </c>
      <c r="F44" s="2" t="s">
        <v>11</v>
      </c>
      <c r="G44" s="2">
        <v>4</v>
      </c>
      <c r="H44" s="2">
        <v>0.5</v>
      </c>
      <c r="I44" s="2">
        <v>1</v>
      </c>
      <c r="J44" s="2">
        <v>2</v>
      </c>
      <c r="K44" s="3" t="s">
        <v>50</v>
      </c>
      <c r="L44" s="3" t="s">
        <v>132</v>
      </c>
      <c r="M44" s="2" t="s">
        <v>127</v>
      </c>
      <c r="N44" s="2" t="s">
        <v>128</v>
      </c>
    </row>
    <row r="45" spans="2:14" hidden="1">
      <c r="B45" s="2">
        <v>19</v>
      </c>
      <c r="C45" s="3" t="s">
        <v>4</v>
      </c>
      <c r="D45" s="2" t="s">
        <v>12</v>
      </c>
      <c r="E45" s="2" t="s">
        <v>8</v>
      </c>
      <c r="F45" s="2" t="s">
        <v>11</v>
      </c>
      <c r="G45" s="2">
        <v>4</v>
      </c>
      <c r="H45" s="2">
        <v>0.5</v>
      </c>
      <c r="I45" s="2">
        <v>1</v>
      </c>
      <c r="J45" s="2">
        <v>2</v>
      </c>
      <c r="K45" s="3" t="s">
        <v>51</v>
      </c>
      <c r="L45" s="3" t="s">
        <v>132</v>
      </c>
      <c r="M45" s="2" t="s">
        <v>127</v>
      </c>
      <c r="N45" s="2" t="s">
        <v>128</v>
      </c>
    </row>
    <row r="46" spans="2:14" hidden="1">
      <c r="B46" s="2">
        <v>20</v>
      </c>
      <c r="C46" s="3" t="s">
        <v>4</v>
      </c>
      <c r="D46" s="2" t="s">
        <v>12</v>
      </c>
      <c r="E46" s="2" t="s">
        <v>8</v>
      </c>
      <c r="F46" s="2" t="s">
        <v>11</v>
      </c>
      <c r="G46" s="2">
        <v>4</v>
      </c>
      <c r="H46" s="2">
        <v>0.5</v>
      </c>
      <c r="I46" s="2">
        <v>1</v>
      </c>
      <c r="J46" s="2">
        <v>2</v>
      </c>
      <c r="K46" s="3" t="s">
        <v>52</v>
      </c>
      <c r="L46" s="3" t="s">
        <v>132</v>
      </c>
      <c r="M46" s="2" t="s">
        <v>127</v>
      </c>
      <c r="N46" s="2" t="s">
        <v>128</v>
      </c>
    </row>
    <row r="47" spans="2:14">
      <c r="B47" s="2">
        <v>21</v>
      </c>
      <c r="C47" s="3" t="s">
        <v>4</v>
      </c>
      <c r="D47" s="2" t="s">
        <v>13</v>
      </c>
      <c r="E47" s="2" t="s">
        <v>7</v>
      </c>
      <c r="F47" s="2" t="s">
        <v>11</v>
      </c>
      <c r="G47" s="2">
        <v>4</v>
      </c>
      <c r="H47" s="2">
        <v>1</v>
      </c>
      <c r="I47" s="2">
        <v>1</v>
      </c>
      <c r="J47" s="2">
        <v>4</v>
      </c>
      <c r="K47" s="3" t="s">
        <v>47</v>
      </c>
      <c r="L47" s="3" t="s">
        <v>134</v>
      </c>
      <c r="M47" s="2" t="s">
        <v>127</v>
      </c>
      <c r="N47" s="2" t="s">
        <v>128</v>
      </c>
    </row>
    <row r="48" spans="2:14">
      <c r="B48" s="2">
        <v>22</v>
      </c>
      <c r="C48" s="3" t="s">
        <v>4</v>
      </c>
      <c r="D48" s="2" t="s">
        <v>13</v>
      </c>
      <c r="E48" s="2" t="s">
        <v>8</v>
      </c>
      <c r="F48" s="2" t="s">
        <v>11</v>
      </c>
      <c r="G48" s="2">
        <v>5</v>
      </c>
      <c r="H48" s="2">
        <v>1</v>
      </c>
      <c r="I48" s="2">
        <v>1</v>
      </c>
      <c r="J48" s="2">
        <v>5</v>
      </c>
      <c r="K48" s="3" t="s">
        <v>53</v>
      </c>
      <c r="L48" s="3" t="s">
        <v>134</v>
      </c>
      <c r="M48" s="2" t="s">
        <v>127</v>
      </c>
      <c r="N48" s="2" t="s">
        <v>128</v>
      </c>
    </row>
    <row r="49" spans="2:14">
      <c r="B49" s="2">
        <v>23</v>
      </c>
      <c r="C49" s="3" t="s">
        <v>4</v>
      </c>
      <c r="D49" s="2" t="s">
        <v>13</v>
      </c>
      <c r="E49" s="2" t="s">
        <v>8</v>
      </c>
      <c r="F49" s="2" t="s">
        <v>11</v>
      </c>
      <c r="G49" s="2">
        <v>5</v>
      </c>
      <c r="H49" s="2">
        <v>1</v>
      </c>
      <c r="I49" s="2">
        <v>1</v>
      </c>
      <c r="J49" s="2">
        <v>5</v>
      </c>
      <c r="K49" s="3" t="s">
        <v>54</v>
      </c>
      <c r="L49" s="3" t="s">
        <v>134</v>
      </c>
      <c r="M49" s="2" t="s">
        <v>127</v>
      </c>
      <c r="N49" s="2" t="s">
        <v>128</v>
      </c>
    </row>
    <row r="50" spans="2:14" hidden="1">
      <c r="B50" s="2">
        <v>24</v>
      </c>
      <c r="C50" s="3" t="s">
        <v>3</v>
      </c>
      <c r="D50" s="2" t="s">
        <v>13</v>
      </c>
      <c r="E50" s="2" t="s">
        <v>9</v>
      </c>
      <c r="F50" s="2" t="s">
        <v>11</v>
      </c>
      <c r="G50" s="2">
        <v>2</v>
      </c>
      <c r="H50" s="2">
        <v>1</v>
      </c>
      <c r="I50" s="2">
        <v>1</v>
      </c>
      <c r="J50" s="2">
        <v>2</v>
      </c>
      <c r="K50" s="3" t="s">
        <v>55</v>
      </c>
      <c r="L50" s="3" t="s">
        <v>134</v>
      </c>
      <c r="M50" s="2" t="s">
        <v>127</v>
      </c>
      <c r="N50" s="2" t="s">
        <v>128</v>
      </c>
    </row>
    <row r="51" spans="2:14" hidden="1">
      <c r="B51" s="2">
        <v>25</v>
      </c>
      <c r="C51" s="3" t="s">
        <v>3</v>
      </c>
      <c r="D51" s="2" t="s">
        <v>12</v>
      </c>
      <c r="E51" s="2" t="s">
        <v>7</v>
      </c>
      <c r="F51" s="2" t="s">
        <v>11</v>
      </c>
      <c r="G51" s="2">
        <v>7</v>
      </c>
      <c r="H51" s="2">
        <v>0.5</v>
      </c>
      <c r="I51" s="2">
        <v>1</v>
      </c>
      <c r="J51" s="2">
        <v>3.5</v>
      </c>
      <c r="K51" s="3" t="s">
        <v>56</v>
      </c>
      <c r="L51" s="3" t="s">
        <v>135</v>
      </c>
      <c r="M51" s="2" t="s">
        <v>127</v>
      </c>
      <c r="N51" s="2" t="s">
        <v>128</v>
      </c>
    </row>
    <row r="52" spans="2:14" hidden="1">
      <c r="B52" s="2">
        <v>26</v>
      </c>
      <c r="C52" s="3" t="s">
        <v>4</v>
      </c>
      <c r="D52" s="2" t="s">
        <v>12</v>
      </c>
      <c r="E52" s="2" t="s">
        <v>8</v>
      </c>
      <c r="F52" s="2" t="s">
        <v>11</v>
      </c>
      <c r="G52" s="2">
        <v>8</v>
      </c>
      <c r="H52" s="2">
        <v>0.5</v>
      </c>
      <c r="I52" s="2">
        <v>1</v>
      </c>
      <c r="J52" s="2">
        <v>4</v>
      </c>
      <c r="K52" s="3" t="s">
        <v>57</v>
      </c>
      <c r="L52" s="3" t="s">
        <v>135</v>
      </c>
      <c r="M52" s="2" t="s">
        <v>127</v>
      </c>
      <c r="N52" s="2" t="s">
        <v>128</v>
      </c>
    </row>
    <row r="53" spans="2:14" hidden="1">
      <c r="B53" s="2">
        <v>27</v>
      </c>
      <c r="C53" s="3" t="s">
        <v>4</v>
      </c>
      <c r="D53" s="2" t="s">
        <v>12</v>
      </c>
      <c r="E53" s="2" t="s">
        <v>8</v>
      </c>
      <c r="F53" s="2" t="s">
        <v>11</v>
      </c>
      <c r="G53" s="2">
        <v>8</v>
      </c>
      <c r="H53" s="2">
        <v>0.5</v>
      </c>
      <c r="I53" s="2">
        <v>1</v>
      </c>
      <c r="J53" s="2">
        <v>4</v>
      </c>
      <c r="K53" s="3" t="s">
        <v>58</v>
      </c>
      <c r="L53" s="3" t="s">
        <v>135</v>
      </c>
      <c r="M53" s="2" t="s">
        <v>127</v>
      </c>
      <c r="N53" s="2" t="s">
        <v>128</v>
      </c>
    </row>
    <row r="54" spans="2:14" hidden="1">
      <c r="B54" s="2">
        <v>28</v>
      </c>
      <c r="C54" s="3" t="s">
        <v>3</v>
      </c>
      <c r="D54" s="2" t="s">
        <v>12</v>
      </c>
      <c r="E54" s="2" t="s">
        <v>9</v>
      </c>
      <c r="F54" s="2" t="s">
        <v>11</v>
      </c>
      <c r="G54" s="2">
        <v>1</v>
      </c>
      <c r="H54" s="2">
        <v>0.5</v>
      </c>
      <c r="I54" s="2">
        <v>1</v>
      </c>
      <c r="J54" s="2">
        <v>1</v>
      </c>
      <c r="K54" s="3" t="s">
        <v>59</v>
      </c>
      <c r="L54" s="3" t="s">
        <v>135</v>
      </c>
      <c r="M54" s="2" t="s">
        <v>127</v>
      </c>
      <c r="N54" s="2" t="s">
        <v>128</v>
      </c>
    </row>
    <row r="55" spans="2:14" hidden="1">
      <c r="B55" s="2">
        <v>29</v>
      </c>
      <c r="C55" s="3" t="s">
        <v>4</v>
      </c>
      <c r="D55" s="2" t="s">
        <v>12</v>
      </c>
      <c r="E55" s="2" t="s">
        <v>8</v>
      </c>
      <c r="F55" s="2" t="s">
        <v>11</v>
      </c>
      <c r="G55" s="2">
        <v>5</v>
      </c>
      <c r="H55" s="2">
        <v>0.5</v>
      </c>
      <c r="I55" s="2">
        <v>1</v>
      </c>
      <c r="J55" s="2">
        <v>2.5</v>
      </c>
      <c r="K55" s="3" t="s">
        <v>60</v>
      </c>
      <c r="L55" s="3" t="s">
        <v>136</v>
      </c>
      <c r="M55" s="2" t="s">
        <v>127</v>
      </c>
      <c r="N55" s="2" t="s">
        <v>128</v>
      </c>
    </row>
    <row r="56" spans="2:14" hidden="1">
      <c r="B56" s="2">
        <v>30</v>
      </c>
      <c r="C56" s="3" t="s">
        <v>4</v>
      </c>
      <c r="D56" s="2" t="s">
        <v>12</v>
      </c>
      <c r="E56" s="2" t="s">
        <v>8</v>
      </c>
      <c r="F56" s="2" t="s">
        <v>11</v>
      </c>
      <c r="G56" s="2">
        <v>5</v>
      </c>
      <c r="H56" s="2">
        <v>0.5</v>
      </c>
      <c r="I56" s="2">
        <v>1</v>
      </c>
      <c r="J56" s="2">
        <v>2.5</v>
      </c>
      <c r="K56" s="3" t="s">
        <v>61</v>
      </c>
      <c r="L56" s="3" t="s">
        <v>136</v>
      </c>
      <c r="M56" s="2" t="s">
        <v>127</v>
      </c>
      <c r="N56" s="2" t="s">
        <v>128</v>
      </c>
    </row>
    <row r="57" spans="2:14" hidden="1">
      <c r="B57" s="2">
        <v>31</v>
      </c>
      <c r="C57" s="3" t="s">
        <v>3</v>
      </c>
      <c r="D57" s="2" t="s">
        <v>12</v>
      </c>
      <c r="E57" s="2" t="s">
        <v>9</v>
      </c>
      <c r="F57" s="2" t="s">
        <v>11</v>
      </c>
      <c r="G57" s="2">
        <v>4</v>
      </c>
      <c r="H57" s="2">
        <v>0.5</v>
      </c>
      <c r="I57" s="2">
        <v>1</v>
      </c>
      <c r="J57" s="2">
        <v>2</v>
      </c>
      <c r="K57" s="3" t="s">
        <v>62</v>
      </c>
      <c r="L57" s="3" t="s">
        <v>136</v>
      </c>
      <c r="M57" s="2" t="s">
        <v>127</v>
      </c>
      <c r="N57" s="2" t="s">
        <v>128</v>
      </c>
    </row>
    <row r="58" spans="2:14" hidden="1">
      <c r="B58" s="2">
        <v>32</v>
      </c>
      <c r="C58" s="3" t="s">
        <v>3</v>
      </c>
      <c r="D58" s="2" t="s">
        <v>13</v>
      </c>
      <c r="E58" s="2" t="s">
        <v>8</v>
      </c>
      <c r="F58" s="2" t="s">
        <v>11</v>
      </c>
      <c r="G58" s="2">
        <v>2</v>
      </c>
      <c r="H58" s="2">
        <v>1</v>
      </c>
      <c r="I58" s="2">
        <v>1</v>
      </c>
      <c r="J58" s="2">
        <v>2</v>
      </c>
      <c r="K58" s="3" t="s">
        <v>63</v>
      </c>
      <c r="L58" s="3" t="s">
        <v>137</v>
      </c>
      <c r="M58" s="2" t="s">
        <v>127</v>
      </c>
      <c r="N58" s="2" t="s">
        <v>128</v>
      </c>
    </row>
    <row r="59" spans="2:14" hidden="1">
      <c r="B59" s="2">
        <v>33</v>
      </c>
      <c r="C59" s="3" t="s">
        <v>3</v>
      </c>
      <c r="D59" s="2" t="s">
        <v>13</v>
      </c>
      <c r="E59" s="2" t="s">
        <v>8</v>
      </c>
      <c r="F59" s="2" t="s">
        <v>11</v>
      </c>
      <c r="G59" s="2">
        <v>2</v>
      </c>
      <c r="H59" s="2">
        <v>1</v>
      </c>
      <c r="I59" s="2">
        <v>1</v>
      </c>
      <c r="J59" s="2">
        <v>2</v>
      </c>
      <c r="K59" s="3" t="s">
        <v>64</v>
      </c>
      <c r="L59" s="3" t="s">
        <v>137</v>
      </c>
      <c r="M59" s="2" t="s">
        <v>127</v>
      </c>
      <c r="N59" s="2" t="s">
        <v>128</v>
      </c>
    </row>
    <row r="60" spans="2:14" hidden="1">
      <c r="B60" s="2">
        <v>34</v>
      </c>
      <c r="C60" s="3" t="s">
        <v>3</v>
      </c>
      <c r="D60" s="2" t="s">
        <v>13</v>
      </c>
      <c r="E60" s="2" t="s">
        <v>9</v>
      </c>
      <c r="F60" s="2" t="s">
        <v>11</v>
      </c>
      <c r="G60" s="2">
        <v>1</v>
      </c>
      <c r="H60" s="2">
        <v>1</v>
      </c>
      <c r="I60" s="2">
        <v>1</v>
      </c>
      <c r="J60" s="2">
        <v>1</v>
      </c>
      <c r="K60" s="3" t="s">
        <v>65</v>
      </c>
      <c r="L60" s="3" t="s">
        <v>137</v>
      </c>
      <c r="M60" s="2" t="s">
        <v>127</v>
      </c>
      <c r="N60" s="2" t="s">
        <v>128</v>
      </c>
    </row>
    <row r="61" spans="2:14">
      <c r="B61" s="2">
        <v>35</v>
      </c>
      <c r="C61" s="3" t="s">
        <v>4</v>
      </c>
      <c r="D61" s="2" t="s">
        <v>13</v>
      </c>
      <c r="E61" s="2" t="s">
        <v>8</v>
      </c>
      <c r="F61" s="2" t="s">
        <v>11</v>
      </c>
      <c r="G61" s="2">
        <v>12</v>
      </c>
      <c r="H61" s="2">
        <v>1</v>
      </c>
      <c r="I61" s="2">
        <v>1</v>
      </c>
      <c r="J61" s="2">
        <v>12</v>
      </c>
      <c r="K61" s="3" t="s">
        <v>66</v>
      </c>
      <c r="L61" s="3" t="s">
        <v>131</v>
      </c>
      <c r="M61" s="2" t="s">
        <v>127</v>
      </c>
      <c r="N61" s="2" t="s">
        <v>128</v>
      </c>
    </row>
    <row r="62" spans="2:14">
      <c r="B62" s="2">
        <v>36</v>
      </c>
      <c r="C62" s="3" t="s">
        <v>4</v>
      </c>
      <c r="D62" s="2" t="s">
        <v>13</v>
      </c>
      <c r="E62" s="2" t="s">
        <v>8</v>
      </c>
      <c r="F62" s="2" t="s">
        <v>11</v>
      </c>
      <c r="G62" s="2">
        <v>12</v>
      </c>
      <c r="H62" s="2">
        <v>1</v>
      </c>
      <c r="I62" s="2">
        <v>1</v>
      </c>
      <c r="J62" s="2">
        <v>12</v>
      </c>
      <c r="K62" s="3" t="s">
        <v>67</v>
      </c>
      <c r="L62" s="3" t="s">
        <v>131</v>
      </c>
      <c r="M62" s="2" t="s">
        <v>127</v>
      </c>
      <c r="N62" s="2" t="s">
        <v>128</v>
      </c>
    </row>
    <row r="63" spans="2:14" hidden="1">
      <c r="B63" s="2">
        <v>37</v>
      </c>
      <c r="C63" s="3" t="s">
        <v>3</v>
      </c>
      <c r="D63" s="2" t="s">
        <v>13</v>
      </c>
      <c r="E63" s="2" t="s">
        <v>9</v>
      </c>
      <c r="F63" s="2" t="s">
        <v>11</v>
      </c>
      <c r="G63" s="2">
        <v>2</v>
      </c>
      <c r="H63" s="2">
        <v>1</v>
      </c>
      <c r="I63" s="2">
        <v>1</v>
      </c>
      <c r="J63" s="2">
        <v>2</v>
      </c>
      <c r="K63" s="3" t="s">
        <v>68</v>
      </c>
      <c r="L63" s="3" t="s">
        <v>131</v>
      </c>
      <c r="M63" s="2" t="s">
        <v>127</v>
      </c>
      <c r="N63" s="2" t="s">
        <v>128</v>
      </c>
    </row>
    <row r="64" spans="2:14">
      <c r="B64" s="2">
        <v>38</v>
      </c>
      <c r="C64" s="3" t="s">
        <v>4</v>
      </c>
      <c r="D64" s="2" t="s">
        <v>13</v>
      </c>
      <c r="E64" s="2" t="s">
        <v>8</v>
      </c>
      <c r="F64" s="2" t="s">
        <v>11</v>
      </c>
      <c r="G64" s="2">
        <v>6</v>
      </c>
      <c r="H64" s="2">
        <v>0.75</v>
      </c>
      <c r="I64" s="2">
        <v>1</v>
      </c>
      <c r="J64" s="2">
        <v>4.5</v>
      </c>
      <c r="K64" s="3" t="s">
        <v>69</v>
      </c>
      <c r="L64" s="3" t="s">
        <v>131</v>
      </c>
      <c r="M64" s="2" t="s">
        <v>127</v>
      </c>
      <c r="N64" s="2" t="s">
        <v>128</v>
      </c>
    </row>
    <row r="65" spans="2:14">
      <c r="B65" s="2">
        <v>39</v>
      </c>
      <c r="C65" s="3" t="s">
        <v>4</v>
      </c>
      <c r="D65" s="2" t="s">
        <v>13</v>
      </c>
      <c r="E65" s="2" t="s">
        <v>8</v>
      </c>
      <c r="F65" s="2" t="s">
        <v>11</v>
      </c>
      <c r="G65" s="2">
        <v>1.5</v>
      </c>
      <c r="H65" s="2">
        <v>1</v>
      </c>
      <c r="I65" s="2">
        <v>1</v>
      </c>
      <c r="J65" s="2">
        <v>1.5</v>
      </c>
      <c r="K65" s="3" t="s">
        <v>70</v>
      </c>
      <c r="L65" s="3" t="s">
        <v>131</v>
      </c>
      <c r="M65" s="2" t="s">
        <v>127</v>
      </c>
      <c r="N65" s="2" t="s">
        <v>138</v>
      </c>
    </row>
    <row r="66" spans="2:14">
      <c r="B66" s="2">
        <v>40</v>
      </c>
      <c r="C66" s="3" t="s">
        <v>4</v>
      </c>
      <c r="D66" s="2" t="s">
        <v>13</v>
      </c>
      <c r="E66" s="2" t="s">
        <v>8</v>
      </c>
      <c r="F66" s="2" t="s">
        <v>11</v>
      </c>
      <c r="G66" s="2">
        <v>6</v>
      </c>
      <c r="H66" s="2">
        <v>0.75</v>
      </c>
      <c r="I66" s="2">
        <v>1</v>
      </c>
      <c r="J66" s="2">
        <v>4.5</v>
      </c>
      <c r="K66" s="3" t="s">
        <v>71</v>
      </c>
      <c r="L66" s="3" t="s">
        <v>131</v>
      </c>
      <c r="M66" s="2" t="s">
        <v>127</v>
      </c>
      <c r="N66" s="2" t="s">
        <v>128</v>
      </c>
    </row>
    <row r="67" spans="2:14">
      <c r="B67" s="2">
        <v>41</v>
      </c>
      <c r="C67" s="3" t="s">
        <v>4</v>
      </c>
      <c r="D67" s="2" t="s">
        <v>13</v>
      </c>
      <c r="E67" s="2" t="s">
        <v>8</v>
      </c>
      <c r="F67" s="2" t="s">
        <v>11</v>
      </c>
      <c r="G67" s="2">
        <v>1.5</v>
      </c>
      <c r="H67" s="2">
        <v>1</v>
      </c>
      <c r="I67" s="2">
        <v>1</v>
      </c>
      <c r="J67" s="2">
        <v>1.5</v>
      </c>
      <c r="K67" s="3" t="s">
        <v>70</v>
      </c>
      <c r="L67" s="3" t="s">
        <v>131</v>
      </c>
      <c r="M67" s="2" t="s">
        <v>127</v>
      </c>
      <c r="N67" s="2" t="s">
        <v>138</v>
      </c>
    </row>
    <row r="68" spans="2:14" hidden="1">
      <c r="B68" s="2">
        <v>42</v>
      </c>
      <c r="C68" s="3" t="s">
        <v>3</v>
      </c>
      <c r="D68" s="2" t="s">
        <v>13</v>
      </c>
      <c r="E68" s="2" t="s">
        <v>9</v>
      </c>
      <c r="F68" s="2" t="s">
        <v>11</v>
      </c>
      <c r="G68" s="2">
        <v>1</v>
      </c>
      <c r="H68" s="2">
        <v>1</v>
      </c>
      <c r="I68" s="2">
        <v>1</v>
      </c>
      <c r="J68" s="2">
        <v>1</v>
      </c>
      <c r="K68" s="3" t="s">
        <v>72</v>
      </c>
      <c r="L68" s="3" t="s">
        <v>131</v>
      </c>
      <c r="M68" s="2" t="s">
        <v>127</v>
      </c>
      <c r="N68" s="2" t="s">
        <v>128</v>
      </c>
    </row>
    <row r="69" spans="2:14" hidden="1">
      <c r="B69" s="2">
        <v>43</v>
      </c>
      <c r="C69" s="3" t="s">
        <v>3</v>
      </c>
      <c r="D69" s="2" t="s">
        <v>13</v>
      </c>
      <c r="E69" s="2" t="s">
        <v>8</v>
      </c>
      <c r="F69" s="2" t="s">
        <v>11</v>
      </c>
      <c r="G69" s="2">
        <v>2</v>
      </c>
      <c r="H69" s="2">
        <v>1</v>
      </c>
      <c r="I69" s="2">
        <v>1</v>
      </c>
      <c r="J69" s="2">
        <v>2</v>
      </c>
      <c r="K69" s="3" t="s">
        <v>73</v>
      </c>
      <c r="L69" s="3" t="s">
        <v>131</v>
      </c>
      <c r="M69" s="2" t="s">
        <v>127</v>
      </c>
      <c r="N69" s="2" t="s">
        <v>128</v>
      </c>
    </row>
    <row r="70" spans="2:14" hidden="1">
      <c r="B70" s="2">
        <v>44</v>
      </c>
      <c r="C70" s="3" t="s">
        <v>3</v>
      </c>
      <c r="D70" s="2" t="s">
        <v>13</v>
      </c>
      <c r="E70" s="2" t="s">
        <v>8</v>
      </c>
      <c r="F70" s="2" t="s">
        <v>11</v>
      </c>
      <c r="G70" s="2">
        <v>2</v>
      </c>
      <c r="H70" s="2">
        <v>1</v>
      </c>
      <c r="I70" s="2">
        <v>1</v>
      </c>
      <c r="J70" s="2">
        <v>2</v>
      </c>
      <c r="K70" s="3" t="s">
        <v>74</v>
      </c>
      <c r="L70" s="3" t="s">
        <v>131</v>
      </c>
      <c r="M70" s="2" t="s">
        <v>127</v>
      </c>
      <c r="N70" s="2" t="s">
        <v>128</v>
      </c>
    </row>
    <row r="71" spans="2:14" hidden="1">
      <c r="B71" s="2">
        <v>45</v>
      </c>
      <c r="C71" s="3" t="s">
        <v>3</v>
      </c>
      <c r="D71" s="2" t="s">
        <v>13</v>
      </c>
      <c r="E71" s="2" t="s">
        <v>9</v>
      </c>
      <c r="F71" s="2" t="s">
        <v>11</v>
      </c>
      <c r="G71" s="2">
        <v>1</v>
      </c>
      <c r="H71" s="2">
        <v>1</v>
      </c>
      <c r="I71" s="2">
        <v>1</v>
      </c>
      <c r="J71" s="2">
        <v>1</v>
      </c>
      <c r="K71" s="3" t="s">
        <v>75</v>
      </c>
      <c r="L71" s="3" t="s">
        <v>131</v>
      </c>
      <c r="M71" s="2" t="s">
        <v>127</v>
      </c>
      <c r="N71" s="2" t="s">
        <v>128</v>
      </c>
    </row>
    <row r="72" spans="2:14" hidden="1">
      <c r="B72" s="2">
        <v>46</v>
      </c>
      <c r="C72" s="3" t="s">
        <v>5</v>
      </c>
      <c r="D72" s="2" t="s">
        <v>12</v>
      </c>
      <c r="E72" s="2" t="s">
        <v>7</v>
      </c>
      <c r="F72" s="2" t="s">
        <v>11</v>
      </c>
      <c r="G72" s="2">
        <v>18</v>
      </c>
      <c r="H72" s="2">
        <v>0.5</v>
      </c>
      <c r="I72" s="2">
        <v>1</v>
      </c>
      <c r="J72" s="2">
        <v>9</v>
      </c>
      <c r="K72" s="3" t="s">
        <v>76</v>
      </c>
      <c r="L72" s="3" t="s">
        <v>126</v>
      </c>
      <c r="M72" s="2" t="s">
        <v>139</v>
      </c>
      <c r="N72" s="2" t="s">
        <v>128</v>
      </c>
    </row>
    <row r="73" spans="2:14" hidden="1">
      <c r="B73" s="2">
        <v>47</v>
      </c>
      <c r="C73" s="3" t="s">
        <v>5</v>
      </c>
      <c r="D73" s="2" t="s">
        <v>12</v>
      </c>
      <c r="E73" s="2" t="s">
        <v>8</v>
      </c>
      <c r="F73" s="2" t="s">
        <v>11</v>
      </c>
      <c r="G73" s="2">
        <v>20</v>
      </c>
      <c r="H73" s="2">
        <v>0.5</v>
      </c>
      <c r="I73" s="2">
        <v>1</v>
      </c>
      <c r="J73" s="2">
        <v>10</v>
      </c>
      <c r="K73" s="3" t="s">
        <v>77</v>
      </c>
      <c r="L73" s="3" t="s">
        <v>126</v>
      </c>
      <c r="M73" s="2" t="s">
        <v>139</v>
      </c>
      <c r="N73" s="2" t="s">
        <v>128</v>
      </c>
    </row>
    <row r="74" spans="2:14" hidden="1">
      <c r="B74" s="2">
        <v>48</v>
      </c>
      <c r="C74" s="3" t="s">
        <v>5</v>
      </c>
      <c r="D74" s="2" t="s">
        <v>12</v>
      </c>
      <c r="E74" s="2" t="s">
        <v>8</v>
      </c>
      <c r="F74" s="2" t="s">
        <v>11</v>
      </c>
      <c r="G74" s="2">
        <v>20</v>
      </c>
      <c r="H74" s="2">
        <v>0.5</v>
      </c>
      <c r="I74" s="2">
        <v>1</v>
      </c>
      <c r="J74" s="2">
        <v>10</v>
      </c>
      <c r="K74" s="3" t="s">
        <v>78</v>
      </c>
      <c r="L74" s="3" t="s">
        <v>126</v>
      </c>
      <c r="M74" s="2" t="s">
        <v>139</v>
      </c>
      <c r="N74" s="2" t="s">
        <v>128</v>
      </c>
    </row>
    <row r="75" spans="2:14" hidden="1">
      <c r="B75" s="2">
        <v>49</v>
      </c>
      <c r="C75" s="3" t="s">
        <v>5</v>
      </c>
      <c r="D75" s="2" t="s">
        <v>12</v>
      </c>
      <c r="E75" s="2" t="s">
        <v>9</v>
      </c>
      <c r="F75" s="2" t="s">
        <v>11</v>
      </c>
      <c r="G75" s="2">
        <v>2</v>
      </c>
      <c r="H75" s="2">
        <v>0.5</v>
      </c>
      <c r="I75" s="2">
        <v>1</v>
      </c>
      <c r="J75" s="2">
        <v>1</v>
      </c>
      <c r="K75" s="3" t="s">
        <v>79</v>
      </c>
      <c r="L75" s="3" t="s">
        <v>126</v>
      </c>
      <c r="M75" s="2" t="s">
        <v>139</v>
      </c>
      <c r="N75" s="2" t="s">
        <v>128</v>
      </c>
    </row>
    <row r="76" spans="2:14" hidden="1">
      <c r="B76" s="2">
        <v>50</v>
      </c>
      <c r="C76" s="3" t="s">
        <v>5</v>
      </c>
      <c r="D76" s="2" t="s">
        <v>12</v>
      </c>
      <c r="E76" s="2" t="s">
        <v>8</v>
      </c>
      <c r="F76" s="2" t="s">
        <v>11</v>
      </c>
      <c r="G76" s="2">
        <v>7</v>
      </c>
      <c r="H76" s="2">
        <v>0.5</v>
      </c>
      <c r="I76" s="2">
        <v>1</v>
      </c>
      <c r="J76" s="2">
        <v>3.5</v>
      </c>
      <c r="K76" s="3" t="s">
        <v>80</v>
      </c>
      <c r="L76" s="3" t="s">
        <v>129</v>
      </c>
      <c r="M76" s="2" t="s">
        <v>139</v>
      </c>
      <c r="N76" s="2" t="s">
        <v>128</v>
      </c>
    </row>
    <row r="77" spans="2:14" hidden="1">
      <c r="B77" s="2">
        <v>51</v>
      </c>
      <c r="C77" s="3" t="s">
        <v>5</v>
      </c>
      <c r="D77" s="2" t="s">
        <v>12</v>
      </c>
      <c r="E77" s="2" t="s">
        <v>8</v>
      </c>
      <c r="F77" s="2" t="s">
        <v>11</v>
      </c>
      <c r="G77" s="2">
        <v>7</v>
      </c>
      <c r="H77" s="2">
        <v>0.5</v>
      </c>
      <c r="I77" s="2">
        <v>1</v>
      </c>
      <c r="J77" s="2">
        <v>3.5</v>
      </c>
      <c r="K77" s="3" t="s">
        <v>81</v>
      </c>
      <c r="L77" s="3" t="s">
        <v>129</v>
      </c>
      <c r="M77" s="2" t="s">
        <v>139</v>
      </c>
      <c r="N77" s="2" t="s">
        <v>128</v>
      </c>
    </row>
    <row r="78" spans="2:14" hidden="1">
      <c r="B78" s="2">
        <v>52</v>
      </c>
      <c r="C78" s="3" t="s">
        <v>5</v>
      </c>
      <c r="D78" s="2" t="s">
        <v>12</v>
      </c>
      <c r="E78" s="2" t="s">
        <v>9</v>
      </c>
      <c r="F78" s="2" t="s">
        <v>11</v>
      </c>
      <c r="G78" s="2">
        <v>1</v>
      </c>
      <c r="H78" s="2">
        <v>0.5</v>
      </c>
      <c r="I78" s="2">
        <v>1</v>
      </c>
      <c r="J78" s="2">
        <v>1</v>
      </c>
      <c r="K78" s="3" t="s">
        <v>82</v>
      </c>
      <c r="L78" s="3" t="s">
        <v>129</v>
      </c>
      <c r="M78" s="2" t="s">
        <v>139</v>
      </c>
      <c r="N78" s="2" t="s">
        <v>128</v>
      </c>
    </row>
    <row r="79" spans="2:14" hidden="1">
      <c r="B79" s="2">
        <v>53</v>
      </c>
      <c r="C79" s="3" t="s">
        <v>5</v>
      </c>
      <c r="D79" s="2" t="s">
        <v>12</v>
      </c>
      <c r="E79" s="2" t="s">
        <v>7</v>
      </c>
      <c r="F79" s="2" t="s">
        <v>11</v>
      </c>
      <c r="G79" s="2">
        <v>2</v>
      </c>
      <c r="H79" s="2">
        <v>0.5</v>
      </c>
      <c r="I79" s="2">
        <v>1</v>
      </c>
      <c r="J79" s="2">
        <v>1</v>
      </c>
      <c r="K79" s="3" t="s">
        <v>83</v>
      </c>
      <c r="L79" s="3" t="s">
        <v>130</v>
      </c>
      <c r="M79" s="2" t="s">
        <v>139</v>
      </c>
      <c r="N79" s="2" t="s">
        <v>128</v>
      </c>
    </row>
    <row r="80" spans="2:14" hidden="1">
      <c r="B80" s="2">
        <v>54</v>
      </c>
      <c r="C80" s="3" t="s">
        <v>5</v>
      </c>
      <c r="D80" s="2" t="s">
        <v>12</v>
      </c>
      <c r="E80" s="2" t="s">
        <v>8</v>
      </c>
      <c r="F80" s="2" t="s">
        <v>11</v>
      </c>
      <c r="G80" s="2">
        <v>2</v>
      </c>
      <c r="H80" s="2">
        <v>0.5</v>
      </c>
      <c r="I80" s="2">
        <v>1</v>
      </c>
      <c r="J80" s="2">
        <v>1</v>
      </c>
      <c r="K80" s="3" t="s">
        <v>84</v>
      </c>
      <c r="L80" s="3" t="s">
        <v>130</v>
      </c>
      <c r="M80" s="2" t="s">
        <v>139</v>
      </c>
      <c r="N80" s="2" t="s">
        <v>128</v>
      </c>
    </row>
    <row r="81" spans="2:14" hidden="1">
      <c r="B81" s="2">
        <v>55</v>
      </c>
      <c r="C81" s="3" t="s">
        <v>5</v>
      </c>
      <c r="D81" s="2" t="s">
        <v>12</v>
      </c>
      <c r="E81" s="2" t="s">
        <v>8</v>
      </c>
      <c r="F81" s="2" t="s">
        <v>11</v>
      </c>
      <c r="G81" s="2">
        <v>2</v>
      </c>
      <c r="H81" s="2">
        <v>0.5</v>
      </c>
      <c r="I81" s="2">
        <v>1</v>
      </c>
      <c r="J81" s="2">
        <v>1</v>
      </c>
      <c r="K81" s="3" t="s">
        <v>85</v>
      </c>
      <c r="L81" s="3" t="s">
        <v>130</v>
      </c>
      <c r="M81" s="2" t="s">
        <v>139</v>
      </c>
      <c r="N81" s="2" t="s">
        <v>128</v>
      </c>
    </row>
    <row r="82" spans="2:14" hidden="1">
      <c r="B82" s="2">
        <v>56</v>
      </c>
      <c r="C82" s="3" t="s">
        <v>5</v>
      </c>
      <c r="D82" s="2" t="s">
        <v>12</v>
      </c>
      <c r="E82" s="2" t="s">
        <v>9</v>
      </c>
      <c r="F82" s="2" t="s">
        <v>11</v>
      </c>
      <c r="G82" s="2">
        <v>2</v>
      </c>
      <c r="H82" s="2">
        <v>0.5</v>
      </c>
      <c r="I82" s="2">
        <v>1</v>
      </c>
      <c r="J82" s="2">
        <v>1</v>
      </c>
      <c r="K82" s="3" t="s">
        <v>86</v>
      </c>
      <c r="L82" s="3" t="s">
        <v>130</v>
      </c>
      <c r="M82" s="2" t="s">
        <v>139</v>
      </c>
      <c r="N82" s="2" t="s">
        <v>128</v>
      </c>
    </row>
    <row r="83" spans="2:14" hidden="1">
      <c r="B83" s="2">
        <v>57</v>
      </c>
      <c r="C83" s="3" t="s">
        <v>5</v>
      </c>
      <c r="D83" s="2" t="s">
        <v>13</v>
      </c>
      <c r="E83" s="2" t="s">
        <v>7</v>
      </c>
      <c r="F83" s="2" t="s">
        <v>11</v>
      </c>
      <c r="G83" s="2">
        <v>3</v>
      </c>
      <c r="H83" s="2">
        <v>1</v>
      </c>
      <c r="I83" s="2">
        <v>1</v>
      </c>
      <c r="J83" s="2">
        <v>3</v>
      </c>
      <c r="K83" s="3" t="s">
        <v>87</v>
      </c>
      <c r="L83" s="3" t="s">
        <v>131</v>
      </c>
      <c r="M83" s="2" t="s">
        <v>139</v>
      </c>
      <c r="N83" s="2" t="s">
        <v>128</v>
      </c>
    </row>
    <row r="84" spans="2:14" hidden="1">
      <c r="B84" s="2">
        <v>58</v>
      </c>
      <c r="C84" s="3" t="s">
        <v>5</v>
      </c>
      <c r="D84" s="2" t="s">
        <v>13</v>
      </c>
      <c r="E84" s="2" t="s">
        <v>7</v>
      </c>
      <c r="F84" s="2" t="s">
        <v>11</v>
      </c>
      <c r="G84" s="2">
        <v>2</v>
      </c>
      <c r="H84" s="2">
        <v>1</v>
      </c>
      <c r="I84" s="2">
        <v>1</v>
      </c>
      <c r="J84" s="2">
        <v>2</v>
      </c>
      <c r="K84" s="3" t="s">
        <v>88</v>
      </c>
      <c r="L84" s="3" t="s">
        <v>131</v>
      </c>
      <c r="M84" s="2" t="s">
        <v>139</v>
      </c>
      <c r="N84" s="2" t="s">
        <v>128</v>
      </c>
    </row>
    <row r="85" spans="2:14" hidden="1">
      <c r="B85" s="2">
        <v>59</v>
      </c>
      <c r="C85" s="3" t="s">
        <v>5</v>
      </c>
      <c r="D85" s="2" t="s">
        <v>13</v>
      </c>
      <c r="E85" s="2" t="s">
        <v>7</v>
      </c>
      <c r="F85" s="2" t="s">
        <v>11</v>
      </c>
      <c r="G85" s="2">
        <v>1</v>
      </c>
      <c r="H85" s="2">
        <v>1</v>
      </c>
      <c r="I85" s="2">
        <v>1</v>
      </c>
      <c r="J85" s="2">
        <v>1</v>
      </c>
      <c r="K85" s="3" t="s">
        <v>89</v>
      </c>
      <c r="L85" s="3" t="s">
        <v>131</v>
      </c>
      <c r="M85" s="2" t="s">
        <v>139</v>
      </c>
      <c r="N85" s="2" t="s">
        <v>128</v>
      </c>
    </row>
    <row r="86" spans="2:14" hidden="1">
      <c r="B86" s="2">
        <v>60</v>
      </c>
      <c r="C86" s="3" t="s">
        <v>5</v>
      </c>
      <c r="D86" s="2" t="s">
        <v>13</v>
      </c>
      <c r="E86" s="2" t="s">
        <v>7</v>
      </c>
      <c r="F86" s="2" t="s">
        <v>11</v>
      </c>
      <c r="G86" s="2">
        <v>2</v>
      </c>
      <c r="H86" s="2">
        <v>1</v>
      </c>
      <c r="I86" s="2">
        <v>1</v>
      </c>
      <c r="J86" s="2">
        <v>2</v>
      </c>
      <c r="K86" s="3" t="s">
        <v>90</v>
      </c>
      <c r="L86" s="3" t="s">
        <v>131</v>
      </c>
      <c r="M86" s="2" t="s">
        <v>139</v>
      </c>
      <c r="N86" s="2" t="s">
        <v>128</v>
      </c>
    </row>
    <row r="87" spans="2:14" hidden="1">
      <c r="B87" s="2">
        <v>61</v>
      </c>
      <c r="C87" s="3" t="s">
        <v>5</v>
      </c>
      <c r="D87" s="2" t="s">
        <v>12</v>
      </c>
      <c r="E87" s="2" t="s">
        <v>9</v>
      </c>
      <c r="F87" s="2" t="s">
        <v>11</v>
      </c>
      <c r="G87" s="2">
        <v>2</v>
      </c>
      <c r="H87" s="2">
        <v>0.5</v>
      </c>
      <c r="I87" s="2">
        <v>1</v>
      </c>
      <c r="J87" s="2">
        <v>1</v>
      </c>
      <c r="K87" s="3" t="s">
        <v>47</v>
      </c>
      <c r="L87" s="3" t="s">
        <v>132</v>
      </c>
      <c r="M87" s="2" t="s">
        <v>139</v>
      </c>
      <c r="N87" s="2" t="s">
        <v>128</v>
      </c>
    </row>
    <row r="88" spans="2:14" hidden="1">
      <c r="B88" s="2">
        <v>62</v>
      </c>
      <c r="C88" s="3" t="s">
        <v>5</v>
      </c>
      <c r="D88" s="2" t="s">
        <v>12</v>
      </c>
      <c r="E88" s="2" t="s">
        <v>8</v>
      </c>
      <c r="F88" s="2" t="s">
        <v>11</v>
      </c>
      <c r="G88" s="2">
        <v>2</v>
      </c>
      <c r="H88" s="2">
        <v>0.5</v>
      </c>
      <c r="I88" s="2">
        <v>1</v>
      </c>
      <c r="J88" s="2">
        <v>1</v>
      </c>
      <c r="K88" s="3" t="s">
        <v>91</v>
      </c>
      <c r="L88" s="3" t="s">
        <v>133</v>
      </c>
      <c r="M88" s="2" t="s">
        <v>139</v>
      </c>
      <c r="N88" s="2" t="s">
        <v>128</v>
      </c>
    </row>
    <row r="89" spans="2:14" hidden="1">
      <c r="B89" s="2">
        <v>63</v>
      </c>
      <c r="C89" s="3" t="s">
        <v>5</v>
      </c>
      <c r="D89" s="2" t="s">
        <v>12</v>
      </c>
      <c r="E89" s="2" t="s">
        <v>9</v>
      </c>
      <c r="F89" s="2" t="s">
        <v>11</v>
      </c>
      <c r="G89" s="2">
        <v>1</v>
      </c>
      <c r="H89" s="2">
        <v>0.5</v>
      </c>
      <c r="I89" s="2">
        <v>1</v>
      </c>
      <c r="J89" s="2">
        <v>1</v>
      </c>
      <c r="K89" s="3" t="s">
        <v>92</v>
      </c>
      <c r="L89" s="3" t="s">
        <v>133</v>
      </c>
      <c r="M89" s="2" t="s">
        <v>139</v>
      </c>
      <c r="N89" s="2" t="s">
        <v>128</v>
      </c>
    </row>
    <row r="90" spans="2:14" hidden="1">
      <c r="B90" s="2">
        <v>64</v>
      </c>
      <c r="C90" s="3" t="s">
        <v>5</v>
      </c>
      <c r="D90" s="2" t="s">
        <v>12</v>
      </c>
      <c r="E90" s="2" t="s">
        <v>7</v>
      </c>
      <c r="F90" s="2" t="s">
        <v>11</v>
      </c>
      <c r="G90" s="2">
        <v>4</v>
      </c>
      <c r="H90" s="2">
        <v>0.5</v>
      </c>
      <c r="I90" s="2">
        <v>1</v>
      </c>
      <c r="J90" s="2">
        <v>2</v>
      </c>
      <c r="K90" s="3" t="s">
        <v>93</v>
      </c>
      <c r="L90" s="3" t="s">
        <v>132</v>
      </c>
      <c r="M90" s="2" t="s">
        <v>139</v>
      </c>
      <c r="N90" s="2" t="s">
        <v>128</v>
      </c>
    </row>
    <row r="91" spans="2:14" hidden="1">
      <c r="B91" s="2">
        <v>65</v>
      </c>
      <c r="C91" s="3" t="s">
        <v>5</v>
      </c>
      <c r="D91" s="2" t="s">
        <v>12</v>
      </c>
      <c r="E91" s="2" t="s">
        <v>8</v>
      </c>
      <c r="F91" s="2" t="s">
        <v>11</v>
      </c>
      <c r="G91" s="2">
        <v>4</v>
      </c>
      <c r="H91" s="2">
        <v>0.5</v>
      </c>
      <c r="I91" s="2">
        <v>1</v>
      </c>
      <c r="J91" s="2">
        <v>2</v>
      </c>
      <c r="K91" s="3" t="s">
        <v>94</v>
      </c>
      <c r="L91" s="3" t="s">
        <v>132</v>
      </c>
      <c r="M91" s="2" t="s">
        <v>139</v>
      </c>
      <c r="N91" s="2" t="s">
        <v>128</v>
      </c>
    </row>
    <row r="92" spans="2:14" hidden="1">
      <c r="B92" s="2">
        <v>66</v>
      </c>
      <c r="C92" s="3" t="s">
        <v>5</v>
      </c>
      <c r="D92" s="2" t="s">
        <v>12</v>
      </c>
      <c r="E92" s="2" t="s">
        <v>8</v>
      </c>
      <c r="F92" s="2" t="s">
        <v>11</v>
      </c>
      <c r="G92" s="2">
        <v>4</v>
      </c>
      <c r="H92" s="2">
        <v>0.5</v>
      </c>
      <c r="I92" s="2">
        <v>1</v>
      </c>
      <c r="J92" s="2">
        <v>2</v>
      </c>
      <c r="K92" s="3" t="s">
        <v>95</v>
      </c>
      <c r="L92" s="3" t="s">
        <v>132</v>
      </c>
      <c r="M92" s="2" t="s">
        <v>139</v>
      </c>
      <c r="N92" s="2" t="s">
        <v>128</v>
      </c>
    </row>
    <row r="93" spans="2:14" hidden="1">
      <c r="B93" s="2">
        <v>67</v>
      </c>
      <c r="C93" s="3" t="s">
        <v>5</v>
      </c>
      <c r="D93" s="2" t="s">
        <v>13</v>
      </c>
      <c r="E93" s="2" t="s">
        <v>7</v>
      </c>
      <c r="F93" s="2" t="s">
        <v>11</v>
      </c>
      <c r="G93" s="2">
        <v>4</v>
      </c>
      <c r="H93" s="2">
        <v>1</v>
      </c>
      <c r="I93" s="2">
        <v>1</v>
      </c>
      <c r="J93" s="2">
        <v>4</v>
      </c>
      <c r="K93" s="3" t="s">
        <v>76</v>
      </c>
      <c r="L93" s="3" t="s">
        <v>134</v>
      </c>
      <c r="M93" s="2" t="s">
        <v>139</v>
      </c>
      <c r="N93" s="2" t="s">
        <v>128</v>
      </c>
    </row>
    <row r="94" spans="2:14" hidden="1">
      <c r="B94" s="2">
        <v>68</v>
      </c>
      <c r="C94" s="3" t="s">
        <v>5</v>
      </c>
      <c r="D94" s="2" t="s">
        <v>13</v>
      </c>
      <c r="E94" s="2" t="s">
        <v>8</v>
      </c>
      <c r="F94" s="2" t="s">
        <v>11</v>
      </c>
      <c r="G94" s="2">
        <v>5</v>
      </c>
      <c r="H94" s="2">
        <v>1</v>
      </c>
      <c r="I94" s="2">
        <v>1</v>
      </c>
      <c r="J94" s="2">
        <v>5</v>
      </c>
      <c r="K94" s="3" t="s">
        <v>96</v>
      </c>
      <c r="L94" s="3" t="s">
        <v>134</v>
      </c>
      <c r="M94" s="2" t="s">
        <v>139</v>
      </c>
      <c r="N94" s="2" t="s">
        <v>128</v>
      </c>
    </row>
    <row r="95" spans="2:14" hidden="1">
      <c r="B95" s="2">
        <v>69</v>
      </c>
      <c r="C95" s="3" t="s">
        <v>5</v>
      </c>
      <c r="D95" s="2" t="s">
        <v>13</v>
      </c>
      <c r="E95" s="2" t="s">
        <v>8</v>
      </c>
      <c r="F95" s="2" t="s">
        <v>11</v>
      </c>
      <c r="G95" s="2">
        <v>5</v>
      </c>
      <c r="H95" s="2">
        <v>1</v>
      </c>
      <c r="I95" s="2">
        <v>1</v>
      </c>
      <c r="J95" s="2">
        <v>5</v>
      </c>
      <c r="K95" s="3" t="s">
        <v>97</v>
      </c>
      <c r="L95" s="3" t="s">
        <v>134</v>
      </c>
      <c r="M95" s="2" t="s">
        <v>139</v>
      </c>
      <c r="N95" s="2" t="s">
        <v>128</v>
      </c>
    </row>
    <row r="96" spans="2:14" hidden="1">
      <c r="B96" s="2">
        <v>70</v>
      </c>
      <c r="C96" s="3" t="s">
        <v>5</v>
      </c>
      <c r="D96" s="2" t="s">
        <v>13</v>
      </c>
      <c r="E96" s="2" t="s">
        <v>9</v>
      </c>
      <c r="F96" s="2" t="s">
        <v>11</v>
      </c>
      <c r="G96" s="2">
        <v>2</v>
      </c>
      <c r="H96" s="2">
        <v>1</v>
      </c>
      <c r="I96" s="2">
        <v>1</v>
      </c>
      <c r="J96" s="2">
        <v>2</v>
      </c>
      <c r="K96" s="3" t="s">
        <v>98</v>
      </c>
      <c r="L96" s="3" t="s">
        <v>134</v>
      </c>
      <c r="M96" s="2" t="s">
        <v>139</v>
      </c>
      <c r="N96" s="2" t="s">
        <v>128</v>
      </c>
    </row>
    <row r="97" spans="2:14" hidden="1">
      <c r="B97" s="2">
        <v>71</v>
      </c>
      <c r="C97" s="3" t="s">
        <v>5</v>
      </c>
      <c r="D97" s="2" t="s">
        <v>12</v>
      </c>
      <c r="E97" s="2" t="s">
        <v>7</v>
      </c>
      <c r="F97" s="2" t="s">
        <v>11</v>
      </c>
      <c r="G97" s="2">
        <v>7</v>
      </c>
      <c r="H97" s="2">
        <v>0.5</v>
      </c>
      <c r="I97" s="2">
        <v>1</v>
      </c>
      <c r="J97" s="2">
        <v>3.5</v>
      </c>
      <c r="K97" s="3" t="s">
        <v>99</v>
      </c>
      <c r="L97" s="3" t="s">
        <v>135</v>
      </c>
      <c r="M97" s="2" t="s">
        <v>139</v>
      </c>
      <c r="N97" s="2" t="s">
        <v>128</v>
      </c>
    </row>
    <row r="98" spans="2:14" hidden="1">
      <c r="B98" s="2">
        <v>72</v>
      </c>
      <c r="C98" s="3" t="s">
        <v>5</v>
      </c>
      <c r="D98" s="2" t="s">
        <v>12</v>
      </c>
      <c r="E98" s="2" t="s">
        <v>8</v>
      </c>
      <c r="F98" s="2" t="s">
        <v>11</v>
      </c>
      <c r="G98" s="2">
        <v>8</v>
      </c>
      <c r="H98" s="2">
        <v>0.5</v>
      </c>
      <c r="I98" s="2">
        <v>1</v>
      </c>
      <c r="J98" s="2">
        <v>4</v>
      </c>
      <c r="K98" s="3" t="s">
        <v>100</v>
      </c>
      <c r="L98" s="3" t="s">
        <v>135</v>
      </c>
      <c r="M98" s="2" t="s">
        <v>139</v>
      </c>
      <c r="N98" s="2" t="s">
        <v>128</v>
      </c>
    </row>
    <row r="99" spans="2:14" hidden="1">
      <c r="B99" s="2">
        <v>73</v>
      </c>
      <c r="C99" s="3" t="s">
        <v>5</v>
      </c>
      <c r="D99" s="2" t="s">
        <v>12</v>
      </c>
      <c r="E99" s="2" t="s">
        <v>8</v>
      </c>
      <c r="F99" s="2" t="s">
        <v>11</v>
      </c>
      <c r="G99" s="2">
        <v>8</v>
      </c>
      <c r="H99" s="2">
        <v>0.5</v>
      </c>
      <c r="I99" s="2">
        <v>1</v>
      </c>
      <c r="J99" s="2">
        <v>4</v>
      </c>
      <c r="K99" s="3" t="s">
        <v>101</v>
      </c>
      <c r="L99" s="3" t="s">
        <v>135</v>
      </c>
      <c r="M99" s="2" t="s">
        <v>139</v>
      </c>
      <c r="N99" s="2" t="s">
        <v>128</v>
      </c>
    </row>
    <row r="100" spans="2:14" hidden="1">
      <c r="B100" s="2">
        <v>74</v>
      </c>
      <c r="C100" s="3" t="s">
        <v>5</v>
      </c>
      <c r="D100" s="2" t="s">
        <v>12</v>
      </c>
      <c r="E100" s="2" t="s">
        <v>9</v>
      </c>
      <c r="F100" s="2" t="s">
        <v>11</v>
      </c>
      <c r="G100" s="2">
        <v>2</v>
      </c>
      <c r="H100" s="2">
        <v>0.5</v>
      </c>
      <c r="I100" s="2">
        <v>1</v>
      </c>
      <c r="J100" s="2">
        <v>1</v>
      </c>
      <c r="K100" s="3" t="s">
        <v>102</v>
      </c>
      <c r="L100" s="3" t="s">
        <v>135</v>
      </c>
      <c r="M100" s="2" t="s">
        <v>139</v>
      </c>
      <c r="N100" s="2" t="s">
        <v>128</v>
      </c>
    </row>
    <row r="101" spans="2:14" hidden="1">
      <c r="B101" s="2">
        <v>75</v>
      </c>
      <c r="C101" s="3" t="s">
        <v>5</v>
      </c>
      <c r="D101" s="2" t="s">
        <v>12</v>
      </c>
      <c r="E101" s="2" t="s">
        <v>8</v>
      </c>
      <c r="F101" s="2" t="s">
        <v>11</v>
      </c>
      <c r="G101" s="2">
        <v>2</v>
      </c>
      <c r="H101" s="2">
        <v>0.5</v>
      </c>
      <c r="I101" s="2">
        <v>1</v>
      </c>
      <c r="J101" s="2">
        <v>1</v>
      </c>
      <c r="K101" s="3" t="s">
        <v>103</v>
      </c>
      <c r="L101" s="3" t="s">
        <v>136</v>
      </c>
      <c r="M101" s="2" t="s">
        <v>139</v>
      </c>
      <c r="N101" s="2" t="s">
        <v>128</v>
      </c>
    </row>
    <row r="102" spans="2:14" hidden="1">
      <c r="B102" s="2">
        <v>76</v>
      </c>
      <c r="C102" s="3" t="s">
        <v>5</v>
      </c>
      <c r="D102" s="2" t="s">
        <v>12</v>
      </c>
      <c r="E102" s="2" t="s">
        <v>8</v>
      </c>
      <c r="F102" s="2" t="s">
        <v>11</v>
      </c>
      <c r="G102" s="2">
        <v>2</v>
      </c>
      <c r="H102" s="2">
        <v>0.5</v>
      </c>
      <c r="I102" s="2">
        <v>1</v>
      </c>
      <c r="J102" s="2">
        <v>1</v>
      </c>
      <c r="K102" s="3" t="s">
        <v>104</v>
      </c>
      <c r="L102" s="3" t="s">
        <v>136</v>
      </c>
      <c r="M102" s="2" t="s">
        <v>139</v>
      </c>
      <c r="N102" s="2" t="s">
        <v>128</v>
      </c>
    </row>
    <row r="103" spans="2:14" hidden="1">
      <c r="B103" s="2">
        <v>77</v>
      </c>
      <c r="C103" s="3" t="s">
        <v>5</v>
      </c>
      <c r="D103" s="2" t="s">
        <v>12</v>
      </c>
      <c r="E103" s="2" t="s">
        <v>9</v>
      </c>
      <c r="F103" s="2" t="s">
        <v>11</v>
      </c>
      <c r="G103" s="2">
        <v>1</v>
      </c>
      <c r="H103" s="2">
        <v>0.5</v>
      </c>
      <c r="I103" s="2">
        <v>1</v>
      </c>
      <c r="J103" s="2">
        <v>1</v>
      </c>
      <c r="K103" s="3" t="s">
        <v>105</v>
      </c>
      <c r="L103" s="3" t="s">
        <v>136</v>
      </c>
      <c r="M103" s="2" t="s">
        <v>139</v>
      </c>
      <c r="N103" s="2" t="s">
        <v>128</v>
      </c>
    </row>
    <row r="104" spans="2:14" hidden="1">
      <c r="B104" s="2">
        <v>78</v>
      </c>
      <c r="C104" s="3" t="s">
        <v>5</v>
      </c>
      <c r="D104" s="2" t="s">
        <v>13</v>
      </c>
      <c r="E104" s="2" t="s">
        <v>8</v>
      </c>
      <c r="F104" s="2" t="s">
        <v>11</v>
      </c>
      <c r="G104" s="2">
        <v>12</v>
      </c>
      <c r="H104" s="2">
        <v>1</v>
      </c>
      <c r="I104" s="2">
        <v>1</v>
      </c>
      <c r="J104" s="2">
        <v>12</v>
      </c>
      <c r="K104" s="3" t="s">
        <v>106</v>
      </c>
      <c r="L104" s="3" t="s">
        <v>131</v>
      </c>
      <c r="M104" s="2" t="s">
        <v>139</v>
      </c>
      <c r="N104" s="2" t="s">
        <v>128</v>
      </c>
    </row>
    <row r="105" spans="2:14" hidden="1">
      <c r="B105" s="2">
        <v>79</v>
      </c>
      <c r="C105" s="3" t="s">
        <v>5</v>
      </c>
      <c r="D105" s="2" t="s">
        <v>13</v>
      </c>
      <c r="E105" s="2" t="s">
        <v>8</v>
      </c>
      <c r="F105" s="2" t="s">
        <v>11</v>
      </c>
      <c r="G105" s="2">
        <v>12</v>
      </c>
      <c r="H105" s="2">
        <v>1</v>
      </c>
      <c r="I105" s="2">
        <v>1</v>
      </c>
      <c r="J105" s="2">
        <v>12</v>
      </c>
      <c r="K105" s="3" t="s">
        <v>107</v>
      </c>
      <c r="L105" s="3" t="s">
        <v>131</v>
      </c>
      <c r="M105" s="2" t="s">
        <v>139</v>
      </c>
      <c r="N105" s="2" t="s">
        <v>128</v>
      </c>
    </row>
    <row r="106" spans="2:14" hidden="1">
      <c r="B106" s="2">
        <v>80</v>
      </c>
      <c r="C106" s="3" t="s">
        <v>5</v>
      </c>
      <c r="D106" s="2" t="s">
        <v>13</v>
      </c>
      <c r="E106" s="2" t="s">
        <v>9</v>
      </c>
      <c r="F106" s="2" t="s">
        <v>11</v>
      </c>
      <c r="G106" s="2">
        <v>2</v>
      </c>
      <c r="H106" s="2">
        <v>1</v>
      </c>
      <c r="I106" s="2">
        <v>1</v>
      </c>
      <c r="J106" s="2">
        <v>2</v>
      </c>
      <c r="K106" s="3" t="s">
        <v>108</v>
      </c>
      <c r="L106" s="3" t="s">
        <v>131</v>
      </c>
      <c r="M106" s="2" t="s">
        <v>139</v>
      </c>
      <c r="N106" s="2" t="s">
        <v>128</v>
      </c>
    </row>
    <row r="107" spans="2:14" hidden="1">
      <c r="B107" s="2">
        <v>81</v>
      </c>
      <c r="C107" s="3" t="s">
        <v>5</v>
      </c>
      <c r="D107" s="2" t="s">
        <v>13</v>
      </c>
      <c r="E107" s="2" t="s">
        <v>8</v>
      </c>
      <c r="F107" s="2" t="s">
        <v>11</v>
      </c>
      <c r="G107" s="2">
        <v>2</v>
      </c>
      <c r="H107" s="2">
        <v>1</v>
      </c>
      <c r="I107" s="2">
        <v>1</v>
      </c>
      <c r="J107" s="2">
        <v>2</v>
      </c>
      <c r="K107" s="3" t="s">
        <v>109</v>
      </c>
      <c r="L107" s="3" t="s">
        <v>131</v>
      </c>
      <c r="M107" s="2" t="s">
        <v>139</v>
      </c>
      <c r="N107" s="2" t="s">
        <v>128</v>
      </c>
    </row>
    <row r="108" spans="2:14" hidden="1">
      <c r="B108" s="2">
        <v>82</v>
      </c>
      <c r="C108" s="3" t="s">
        <v>5</v>
      </c>
      <c r="D108" s="2" t="s">
        <v>13</v>
      </c>
      <c r="E108" s="2" t="s">
        <v>8</v>
      </c>
      <c r="F108" s="2" t="s">
        <v>11</v>
      </c>
      <c r="G108" s="2">
        <v>2</v>
      </c>
      <c r="H108" s="2">
        <v>1</v>
      </c>
      <c r="I108" s="2">
        <v>1</v>
      </c>
      <c r="J108" s="2">
        <v>2</v>
      </c>
      <c r="K108" s="3" t="s">
        <v>110</v>
      </c>
      <c r="L108" s="3" t="s">
        <v>131</v>
      </c>
      <c r="M108" s="2" t="s">
        <v>139</v>
      </c>
      <c r="N108" s="2" t="s">
        <v>128</v>
      </c>
    </row>
    <row r="109" spans="2:14" hidden="1">
      <c r="B109" s="2">
        <v>83</v>
      </c>
      <c r="C109" s="3" t="s">
        <v>5</v>
      </c>
      <c r="D109" s="2" t="s">
        <v>13</v>
      </c>
      <c r="E109" s="2" t="s">
        <v>9</v>
      </c>
      <c r="F109" s="2" t="s">
        <v>11</v>
      </c>
      <c r="G109" s="2">
        <v>1</v>
      </c>
      <c r="H109" s="2">
        <v>1</v>
      </c>
      <c r="I109" s="2">
        <v>1</v>
      </c>
      <c r="J109" s="2">
        <v>1</v>
      </c>
      <c r="K109" s="3" t="s">
        <v>111</v>
      </c>
      <c r="L109" s="3" t="s">
        <v>131</v>
      </c>
      <c r="M109" s="2" t="s">
        <v>139</v>
      </c>
      <c r="N109" s="2" t="s">
        <v>128</v>
      </c>
    </row>
    <row r="110" spans="2:14" hidden="1">
      <c r="B110" s="2">
        <v>84</v>
      </c>
      <c r="C110" s="3" t="s">
        <v>5</v>
      </c>
      <c r="D110" s="2" t="s">
        <v>13</v>
      </c>
      <c r="E110" s="2" t="s">
        <v>8</v>
      </c>
      <c r="F110" s="2" t="s">
        <v>11</v>
      </c>
      <c r="G110" s="2">
        <v>2</v>
      </c>
      <c r="H110" s="2">
        <v>1</v>
      </c>
      <c r="I110" s="2">
        <v>1</v>
      </c>
      <c r="J110" s="2">
        <v>2</v>
      </c>
      <c r="K110" s="3" t="s">
        <v>112</v>
      </c>
      <c r="L110" s="3" t="s">
        <v>131</v>
      </c>
      <c r="M110" s="2" t="s">
        <v>139</v>
      </c>
      <c r="N110" s="2" t="s">
        <v>128</v>
      </c>
    </row>
    <row r="111" spans="2:14" hidden="1">
      <c r="B111" s="2">
        <v>85</v>
      </c>
      <c r="C111" s="3" t="s">
        <v>5</v>
      </c>
      <c r="D111" s="2" t="s">
        <v>13</v>
      </c>
      <c r="E111" s="2" t="s">
        <v>8</v>
      </c>
      <c r="F111" s="2" t="s">
        <v>11</v>
      </c>
      <c r="G111" s="2">
        <v>2</v>
      </c>
      <c r="H111" s="2">
        <v>1</v>
      </c>
      <c r="I111" s="2">
        <v>1</v>
      </c>
      <c r="J111" s="2">
        <v>2</v>
      </c>
      <c r="K111" s="3" t="s">
        <v>113</v>
      </c>
      <c r="L111" s="3" t="s">
        <v>131</v>
      </c>
      <c r="M111" s="2" t="s">
        <v>139</v>
      </c>
      <c r="N111" s="2" t="s">
        <v>128</v>
      </c>
    </row>
    <row r="112" spans="2:14" hidden="1">
      <c r="B112" s="2">
        <v>86</v>
      </c>
      <c r="C112" s="3" t="s">
        <v>5</v>
      </c>
      <c r="D112" s="2" t="s">
        <v>13</v>
      </c>
      <c r="E112" s="2" t="s">
        <v>9</v>
      </c>
      <c r="F112" s="2" t="s">
        <v>11</v>
      </c>
      <c r="G112" s="2">
        <v>1</v>
      </c>
      <c r="H112" s="2">
        <v>1</v>
      </c>
      <c r="I112" s="2">
        <v>1</v>
      </c>
      <c r="J112" s="2">
        <v>1</v>
      </c>
      <c r="K112" s="3" t="s">
        <v>114</v>
      </c>
      <c r="L112" s="3" t="s">
        <v>131</v>
      </c>
      <c r="M112" s="2" t="s">
        <v>139</v>
      </c>
      <c r="N112" s="2" t="s">
        <v>128</v>
      </c>
    </row>
    <row r="113" spans="2:14" hidden="1">
      <c r="B113" s="2">
        <v>87</v>
      </c>
      <c r="C113" s="3" t="s">
        <v>5</v>
      </c>
      <c r="D113" s="2" t="s">
        <v>13</v>
      </c>
      <c r="E113" s="2" t="s">
        <v>8</v>
      </c>
      <c r="F113" s="2" t="s">
        <v>11</v>
      </c>
      <c r="G113" s="2">
        <v>2</v>
      </c>
      <c r="H113" s="2">
        <v>1</v>
      </c>
      <c r="I113" s="2">
        <v>1</v>
      </c>
      <c r="J113" s="2">
        <v>2</v>
      </c>
      <c r="K113" s="3" t="s">
        <v>115</v>
      </c>
      <c r="L113" s="3" t="s">
        <v>131</v>
      </c>
      <c r="M113" s="2" t="s">
        <v>139</v>
      </c>
      <c r="N113" s="2" t="s">
        <v>128</v>
      </c>
    </row>
    <row r="114" spans="2:14" hidden="1">
      <c r="B114" s="2">
        <v>88</v>
      </c>
      <c r="C114" s="3" t="s">
        <v>5</v>
      </c>
      <c r="D114" s="2" t="s">
        <v>13</v>
      </c>
      <c r="E114" s="2" t="s">
        <v>8</v>
      </c>
      <c r="F114" s="2" t="s">
        <v>11</v>
      </c>
      <c r="G114" s="2">
        <v>2</v>
      </c>
      <c r="H114" s="2">
        <v>1</v>
      </c>
      <c r="I114" s="2">
        <v>1</v>
      </c>
      <c r="J114" s="2">
        <v>2</v>
      </c>
      <c r="K114" s="3" t="s">
        <v>116</v>
      </c>
      <c r="L114" s="3" t="s">
        <v>131</v>
      </c>
      <c r="M114" s="2" t="s">
        <v>139</v>
      </c>
      <c r="N114" s="2" t="s">
        <v>128</v>
      </c>
    </row>
    <row r="115" spans="2:14" hidden="1">
      <c r="B115" s="2">
        <v>89</v>
      </c>
      <c r="C115" s="3" t="s">
        <v>5</v>
      </c>
      <c r="D115" s="2" t="s">
        <v>13</v>
      </c>
      <c r="E115" s="2" t="s">
        <v>9</v>
      </c>
      <c r="F115" s="2" t="s">
        <v>11</v>
      </c>
      <c r="G115" s="2">
        <v>1</v>
      </c>
      <c r="H115" s="2">
        <v>1</v>
      </c>
      <c r="I115" s="2">
        <v>1</v>
      </c>
      <c r="J115" s="2">
        <v>1</v>
      </c>
      <c r="K115" s="3" t="s">
        <v>117</v>
      </c>
      <c r="L115" s="3" t="s">
        <v>131</v>
      </c>
      <c r="M115" s="2" t="s">
        <v>139</v>
      </c>
      <c r="N115" s="2" t="s">
        <v>128</v>
      </c>
    </row>
    <row r="116" spans="2:14" hidden="1">
      <c r="B116" s="2">
        <v>90</v>
      </c>
      <c r="C116" s="3" t="s">
        <v>118</v>
      </c>
      <c r="D116" s="2" t="s">
        <v>119</v>
      </c>
      <c r="E116" s="2" t="s">
        <v>119</v>
      </c>
      <c r="F116" s="2" t="s">
        <v>120</v>
      </c>
      <c r="G116" s="52">
        <v>130</v>
      </c>
      <c r="H116" s="53"/>
      <c r="I116" s="53"/>
      <c r="J116" s="54"/>
      <c r="K116" s="3" t="s">
        <v>121</v>
      </c>
      <c r="L116" s="3"/>
      <c r="M116" s="3"/>
      <c r="N116" s="3"/>
    </row>
  </sheetData>
  <autoFilter ref="B26:N116" xr:uid="{00000000-0001-0000-0000-000000000000}">
    <filterColumn colId="1">
      <filters>
        <filter val="JEUS 9 @ Enterprise"/>
      </filters>
    </filterColumn>
    <filterColumn colId="2">
      <filters>
        <filter val="AIX"/>
      </filters>
    </filterColumn>
  </autoFilter>
  <mergeCells count="5">
    <mergeCell ref="G116:J116"/>
    <mergeCell ref="K3:K8"/>
    <mergeCell ref="K9:K14"/>
    <mergeCell ref="K15:K22"/>
    <mergeCell ref="G23:J2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TMAXSOFT</vt:lpstr>
      <vt:lpstr>OS 및 타입별 요약 및 상세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2026-08-06T04:48:13Z</dcterms:modified>
</cp:coreProperties>
</file>